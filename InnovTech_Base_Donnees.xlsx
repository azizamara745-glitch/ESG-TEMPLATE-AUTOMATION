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_de_Bord" sheetId="1" state="visible" r:id="rId3"/>
    <sheet name="Employés" sheetId="2" state="visible" r:id="rId4"/>
    <sheet name="Finances" sheetId="3" state="visible" r:id="rId5"/>
    <sheet name="Impact_Économique" sheetId="4" state="visible" r:id="rId6"/>
    <sheet name="Clients" sheetId="5" state="visible" r:id="rId7"/>
    <sheet name="Projets" sheetId="6" state="visible" r:id="rId8"/>
  </sheets>
  <definedNames>
    <definedName function="false" hidden="true" localSheetId="4" name="_xlnm._FilterDatabase" vbProcedure="false">Clients!$A$1:$I$16</definedName>
    <definedName function="false" hidden="true" localSheetId="1" name="_xlnm._FilterDatabase" vbProcedure="false">Employés!$A$1:$J$46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<sst xmlns="http://schemas.openxmlformats.org/spreadsheetml/2006/main" count="557" uniqueCount="269">
  <si>
    <t xml:space="preserve">TABLEAU DE BORD EXÉCUTIF — ENTREPRISE INNOVTECH SA (2024)</t>
  </si>
  <si>
    <t xml:space="preserve">CA 2024</t>
  </si>
  <si>
    <t xml:space="preserve">Résultat Net</t>
  </si>
  <si>
    <t xml:space="preserve">Effectif Total</t>
  </si>
  <si>
    <t xml:space="preserve">Nb Clients Actifs</t>
  </si>
  <si>
    <t xml:space="preserve">Projets En Cours</t>
  </si>
  <si>
    <t xml:space="preserve">19 900 000 TND</t>
  </si>
  <si>
    <t xml:space="preserve">2 863 200 TND</t>
  </si>
  <si>
    <t xml:space="preserve">87 Employés</t>
  </si>
  <si>
    <t xml:space="preserve">12 Clients</t>
  </si>
  <si>
    <t xml:space="preserve">5 Projets</t>
  </si>
  <si>
    <t xml:space="preserve">Marge Nette Moy.</t>
  </si>
  <si>
    <t xml:space="preserve">Croissance CA</t>
  </si>
  <si>
    <t xml:space="preserve">Budget Proj. Total</t>
  </si>
  <si>
    <t xml:space="preserve">Part Export CA</t>
  </si>
  <si>
    <t xml:space="preserve">Score Fidélité Moy.</t>
  </si>
  <si>
    <t xml:space="preserve">14.4 %</t>
  </si>
  <si>
    <t xml:space="preserve">29.2 %</t>
  </si>
  <si>
    <t xml:space="preserve">8 125 000 TND</t>
  </si>
  <si>
    <t xml:space="preserve">31 %</t>
  </si>
  <si>
    <t xml:space="preserve">82 /100</t>
  </si>
  <si>
    <t xml:space="preserve">Données consolidées — Source: Base de données InnovTech SA | Exercice 2024</t>
  </si>
  <si>
    <t xml:space="preserve">ID_Employé</t>
  </si>
  <si>
    <t xml:space="preserve">Nom</t>
  </si>
  <si>
    <t xml:space="preserve">Prénom</t>
  </si>
  <si>
    <t xml:space="preserve">Département</t>
  </si>
  <si>
    <t xml:space="preserve">Poste</t>
  </si>
  <si>
    <t xml:space="preserve">Date_Embauche</t>
  </si>
  <si>
    <t xml:space="preserve">Salaire_Annuel</t>
  </si>
  <si>
    <t xml:space="preserve">Ancienneté_Ans</t>
  </si>
  <si>
    <t xml:space="preserve">Statut</t>
  </si>
  <si>
    <t xml:space="preserve">Évaluation_Perf</t>
  </si>
  <si>
    <t xml:space="preserve">EMP001</t>
  </si>
  <si>
    <t xml:space="preserve">Khelifi</t>
  </si>
  <si>
    <t xml:space="preserve">Mohamed</t>
  </si>
  <si>
    <t xml:space="preserve">Finance</t>
  </si>
  <si>
    <t xml:space="preserve">Analyste Financier</t>
  </si>
  <si>
    <t xml:space="preserve">Actif</t>
  </si>
  <si>
    <t xml:space="preserve">Excellent</t>
  </si>
  <si>
    <t xml:space="preserve">EMP002</t>
  </si>
  <si>
    <t xml:space="preserve">Ayari</t>
  </si>
  <si>
    <t xml:space="preserve">Ahmed</t>
  </si>
  <si>
    <t xml:space="preserve">DAF</t>
  </si>
  <si>
    <t xml:space="preserve">Très Bien</t>
  </si>
  <si>
    <t xml:space="preserve">EMP003</t>
  </si>
  <si>
    <t xml:space="preserve">Mrad</t>
  </si>
  <si>
    <t xml:space="preserve">Omar</t>
  </si>
  <si>
    <t xml:space="preserve">Contrôleur</t>
  </si>
  <si>
    <t xml:space="preserve">Satisfaisant</t>
  </si>
  <si>
    <t xml:space="preserve">EMP004</t>
  </si>
  <si>
    <t xml:space="preserve">Gharsalli</t>
  </si>
  <si>
    <t xml:space="preserve">Amine</t>
  </si>
  <si>
    <t xml:space="preserve">Trésorier</t>
  </si>
  <si>
    <t xml:space="preserve">EMP005</t>
  </si>
  <si>
    <t xml:space="preserve">Rim</t>
  </si>
  <si>
    <t xml:space="preserve">EMP006</t>
  </si>
  <si>
    <t xml:space="preserve">Jebali</t>
  </si>
  <si>
    <t xml:space="preserve">EMP007</t>
  </si>
  <si>
    <t xml:space="preserve">Ben Ali</t>
  </si>
  <si>
    <t xml:space="preserve">Leila</t>
  </si>
  <si>
    <t xml:space="preserve">RH</t>
  </si>
  <si>
    <t xml:space="preserve">Gestionnaire Paie</t>
  </si>
  <si>
    <t xml:space="preserve">EMP008</t>
  </si>
  <si>
    <t xml:space="preserve">Responsable RH</t>
  </si>
  <si>
    <t xml:space="preserve">EMP009</t>
  </si>
  <si>
    <t xml:space="preserve">Amara</t>
  </si>
  <si>
    <t xml:space="preserve">Sonia</t>
  </si>
  <si>
    <t xml:space="preserve">Recruteur</t>
  </si>
  <si>
    <t xml:space="preserve">EMP010</t>
  </si>
  <si>
    <t xml:space="preserve">Bien</t>
  </si>
  <si>
    <t xml:space="preserve">EMP011</t>
  </si>
  <si>
    <t xml:space="preserve">Chaabane</t>
  </si>
  <si>
    <t xml:space="preserve">Mehdi</t>
  </si>
  <si>
    <t xml:space="preserve">EMP012</t>
  </si>
  <si>
    <t xml:space="preserve">EMP013</t>
  </si>
  <si>
    <t xml:space="preserve">Slimane</t>
  </si>
  <si>
    <t xml:space="preserve">Salma</t>
  </si>
  <si>
    <t xml:space="preserve">À améliorer</t>
  </si>
  <si>
    <t xml:space="preserve">EMP014</t>
  </si>
  <si>
    <t xml:space="preserve">Fatima</t>
  </si>
  <si>
    <t xml:space="preserve">EMP015</t>
  </si>
  <si>
    <t xml:space="preserve">Tarek</t>
  </si>
  <si>
    <t xml:space="preserve">IT</t>
  </si>
  <si>
    <t xml:space="preserve">Administrateur Systèmes</t>
  </si>
  <si>
    <t xml:space="preserve">Congé</t>
  </si>
  <si>
    <t xml:space="preserve">EMP016</t>
  </si>
  <si>
    <t xml:space="preserve">Yasmine</t>
  </si>
  <si>
    <t xml:space="preserve">EMP017</t>
  </si>
  <si>
    <t xml:space="preserve">Trabelsi</t>
  </si>
  <si>
    <t xml:space="preserve">Chef Projet IT</t>
  </si>
  <si>
    <t xml:space="preserve">EMP018</t>
  </si>
  <si>
    <t xml:space="preserve">Marzouki</t>
  </si>
  <si>
    <t xml:space="preserve">Nadia</t>
  </si>
  <si>
    <t xml:space="preserve">EMP019</t>
  </si>
  <si>
    <t xml:space="preserve">EMP020</t>
  </si>
  <si>
    <t xml:space="preserve">EMP021</t>
  </si>
  <si>
    <t xml:space="preserve">Bouzid</t>
  </si>
  <si>
    <t xml:space="preserve">Karim</t>
  </si>
  <si>
    <t xml:space="preserve">EMP022</t>
  </si>
  <si>
    <t xml:space="preserve">Commercial</t>
  </si>
  <si>
    <t xml:space="preserve">Key Account Manager</t>
  </si>
  <si>
    <t xml:space="preserve">EMP023</t>
  </si>
  <si>
    <t xml:space="preserve">EMP024</t>
  </si>
  <si>
    <t xml:space="preserve">EMP025</t>
  </si>
  <si>
    <t xml:space="preserve">Saidi</t>
  </si>
  <si>
    <t xml:space="preserve">EMP026</t>
  </si>
  <si>
    <t xml:space="preserve">Dina</t>
  </si>
  <si>
    <t xml:space="preserve">Directeur Commercial</t>
  </si>
  <si>
    <t xml:space="preserve">EMP027</t>
  </si>
  <si>
    <t xml:space="preserve">EMP028</t>
  </si>
  <si>
    <t xml:space="preserve">EMP029</t>
  </si>
  <si>
    <t xml:space="preserve">EMP030</t>
  </si>
  <si>
    <t xml:space="preserve">EMP031</t>
  </si>
  <si>
    <t xml:space="preserve">Marketing</t>
  </si>
  <si>
    <t xml:space="preserve">Chef de Produit</t>
  </si>
  <si>
    <t xml:space="preserve">EMP032</t>
  </si>
  <si>
    <t xml:space="preserve">Hamdi</t>
  </si>
  <si>
    <t xml:space="preserve">Responsable Marketing</t>
  </si>
  <si>
    <t xml:space="preserve">EMP033</t>
  </si>
  <si>
    <t xml:space="preserve">EMP034</t>
  </si>
  <si>
    <t xml:space="preserve">EMP035</t>
  </si>
  <si>
    <t xml:space="preserve">Youssef</t>
  </si>
  <si>
    <t xml:space="preserve">EMP036</t>
  </si>
  <si>
    <t xml:space="preserve">EMP037</t>
  </si>
  <si>
    <t xml:space="preserve">EMP038</t>
  </si>
  <si>
    <t xml:space="preserve">EMP039</t>
  </si>
  <si>
    <t xml:space="preserve">Opérations</t>
  </si>
  <si>
    <t xml:space="preserve">Coordinateur</t>
  </si>
  <si>
    <t xml:space="preserve">EMP040</t>
  </si>
  <si>
    <t xml:space="preserve">Responsable Logistique</t>
  </si>
  <si>
    <t xml:space="preserve">EMP041</t>
  </si>
  <si>
    <t xml:space="preserve">Directeur Opérations</t>
  </si>
  <si>
    <t xml:space="preserve">EMP042</t>
  </si>
  <si>
    <t xml:space="preserve">EMP043</t>
  </si>
  <si>
    <t xml:space="preserve">EMP044</t>
  </si>
  <si>
    <t xml:space="preserve">EMP045</t>
  </si>
  <si>
    <t xml:space="preserve">Année</t>
  </si>
  <si>
    <t xml:space="preserve">Trimestre</t>
  </si>
  <si>
    <t xml:space="preserve">Revenu_Total</t>
  </si>
  <si>
    <t xml:space="preserve">Coûts_Opérationnels</t>
  </si>
  <si>
    <t xml:space="preserve">EBITDA</t>
  </si>
  <si>
    <t xml:space="preserve">Résultat_Net</t>
  </si>
  <si>
    <t xml:space="preserve">Marge_Nette_%</t>
  </si>
  <si>
    <t xml:space="preserve">Dépenses_RH</t>
  </si>
  <si>
    <t xml:space="preserve">Dépenses_IT</t>
  </si>
  <si>
    <t xml:space="preserve">Dépenses_Marketing</t>
  </si>
  <si>
    <t xml:space="preserve">Flux_Trésorerie</t>
  </si>
  <si>
    <t xml:space="preserve">TOTAL ANNUEL</t>
  </si>
  <si>
    <t xml:space="preserve">Q1</t>
  </si>
  <si>
    <t xml:space="preserve">Q2</t>
  </si>
  <si>
    <t xml:space="preserve">Q3</t>
  </si>
  <si>
    <t xml:space="preserve">Q4</t>
  </si>
  <si>
    <t xml:space="preserve">Indicateur</t>
  </si>
  <si>
    <t xml:space="preserve">2021</t>
  </si>
  <si>
    <t xml:space="preserve">2022</t>
  </si>
  <si>
    <t xml:space="preserve">2023</t>
  </si>
  <si>
    <t xml:space="preserve">2024</t>
  </si>
  <si>
    <t xml:space="preserve">Variation_23-24_%</t>
  </si>
  <si>
    <t xml:space="preserve">Tendance</t>
  </si>
  <si>
    <t xml:space="preserve">Chiffre d'Affaires (TND)</t>
  </si>
  <si>
    <t xml:space="preserve">↑</t>
  </si>
  <si>
    <t xml:space="preserve">Masse Salariale (TND)</t>
  </si>
  <si>
    <t xml:space="preserve">Investissements (TND)</t>
  </si>
  <si>
    <t xml:space="preserve">Taxes &amp; Contributions (TND)</t>
  </si>
  <si>
    <t xml:space="preserve">Emplois Directs (nb)</t>
  </si>
  <si>
    <t xml:space="preserve">Emplois Indirects Estimés (nb)</t>
  </si>
  <si>
    <t xml:space="preserve">Part du CA Export (%)</t>
  </si>
  <si>
    <t xml:space="preserve">Dépenses Fournisseurs Locaux (TND)</t>
  </si>
  <si>
    <t xml:space="preserve">ROI Moyen (%)</t>
  </si>
  <si>
    <t xml:space="preserve">Productivité/Employé (TND)</t>
  </si>
  <si>
    <t xml:space="preserve">ID_Client</t>
  </si>
  <si>
    <t xml:space="preserve">Nom_Entreprise</t>
  </si>
  <si>
    <t xml:space="preserve">Secteur</t>
  </si>
  <si>
    <t xml:space="preserve">Pays</t>
  </si>
  <si>
    <t xml:space="preserve">CA_Annuel_TND</t>
  </si>
  <si>
    <t xml:space="preserve">Date_1er_Contrat</t>
  </si>
  <si>
    <t xml:space="preserve">Nb_Commandes</t>
  </si>
  <si>
    <t xml:space="preserve">Score_Fidélité</t>
  </si>
  <si>
    <t xml:space="preserve">CLI001</t>
  </si>
  <si>
    <t xml:space="preserve">Alpha Corp</t>
  </si>
  <si>
    <t xml:space="preserve">Industrie</t>
  </si>
  <si>
    <t xml:space="preserve">Tunisie</t>
  </si>
  <si>
    <t xml:space="preserve">Prospect</t>
  </si>
  <si>
    <t xml:space="preserve">CLI002</t>
  </si>
  <si>
    <t xml:space="preserve">Beta Industries</t>
  </si>
  <si>
    <t xml:space="preserve">Distribution</t>
  </si>
  <si>
    <t xml:space="preserve">Inactif</t>
  </si>
  <si>
    <t xml:space="preserve">CLI003</t>
  </si>
  <si>
    <t xml:space="preserve">Gamma Services</t>
  </si>
  <si>
    <t xml:space="preserve">Technologie</t>
  </si>
  <si>
    <t xml:space="preserve">CLI004</t>
  </si>
  <si>
    <t xml:space="preserve">Delta Tech</t>
  </si>
  <si>
    <t xml:space="preserve">Sénégal</t>
  </si>
  <si>
    <t xml:space="preserve">CLI005</t>
  </si>
  <si>
    <t xml:space="preserve">Epsilon Group</t>
  </si>
  <si>
    <t xml:space="preserve">Algérie</t>
  </si>
  <si>
    <t xml:space="preserve">CLI006</t>
  </si>
  <si>
    <t xml:space="preserve">Zeta Solutions</t>
  </si>
  <si>
    <t xml:space="preserve">Santé</t>
  </si>
  <si>
    <t xml:space="preserve">Côte d'Ivoire</t>
  </si>
  <si>
    <t xml:space="preserve">CLI007</t>
  </si>
  <si>
    <t xml:space="preserve">Eta Partners</t>
  </si>
  <si>
    <t xml:space="preserve">BTP</t>
  </si>
  <si>
    <t xml:space="preserve">CLI008</t>
  </si>
  <si>
    <t xml:space="preserve">Theta Consulting</t>
  </si>
  <si>
    <t xml:space="preserve">Libye</t>
  </si>
  <si>
    <t xml:space="preserve">CLI009</t>
  </si>
  <si>
    <t xml:space="preserve">Iota Logistics</t>
  </si>
  <si>
    <t xml:space="preserve">Maroc</t>
  </si>
  <si>
    <t xml:space="preserve">CLI010</t>
  </si>
  <si>
    <t xml:space="preserve">Kappa Retail</t>
  </si>
  <si>
    <t xml:space="preserve">France</t>
  </si>
  <si>
    <t xml:space="preserve">CLI011</t>
  </si>
  <si>
    <t xml:space="preserve">Lambda Finance</t>
  </si>
  <si>
    <t xml:space="preserve">CLI012</t>
  </si>
  <si>
    <t xml:space="preserve">Mu Healthcare</t>
  </si>
  <si>
    <t xml:space="preserve">Agro-alimentaire</t>
  </si>
  <si>
    <t xml:space="preserve">CLI013</t>
  </si>
  <si>
    <t xml:space="preserve">Nu Construction</t>
  </si>
  <si>
    <t xml:space="preserve">CLI014</t>
  </si>
  <si>
    <t xml:space="preserve">Xi Media</t>
  </si>
  <si>
    <t xml:space="preserve">CLI015</t>
  </si>
  <si>
    <t xml:space="preserve">Omicron Agri</t>
  </si>
  <si>
    <t xml:space="preserve">ID_Projet</t>
  </si>
  <si>
    <t xml:space="preserve">Nom_Projet</t>
  </si>
  <si>
    <t xml:space="preserve">Chef_Projet</t>
  </si>
  <si>
    <t xml:space="preserve">Budget_TND</t>
  </si>
  <si>
    <t xml:space="preserve">Coût_Réel_TND</t>
  </si>
  <si>
    <t xml:space="preserve">Écart_%</t>
  </si>
  <si>
    <t xml:space="preserve">Date_Début</t>
  </si>
  <si>
    <t xml:space="preserve">Date_Fin</t>
  </si>
  <si>
    <t xml:space="preserve">Priorité</t>
  </si>
  <si>
    <t xml:space="preserve">PRJ001</t>
  </si>
  <si>
    <t xml:space="preserve">Refonte ERP</t>
  </si>
  <si>
    <t xml:space="preserve">Mehdi Jebali</t>
  </si>
  <si>
    <t xml:space="preserve">Terminé</t>
  </si>
  <si>
    <t xml:space="preserve">Haute</t>
  </si>
  <si>
    <t xml:space="preserve">PRJ002</t>
  </si>
  <si>
    <t xml:space="preserve">Expansion Maghreb</t>
  </si>
  <si>
    <t xml:space="preserve">Sonia Chaabane</t>
  </si>
  <si>
    <t xml:space="preserve">En cours</t>
  </si>
  <si>
    <t xml:space="preserve">Critique</t>
  </si>
  <si>
    <t xml:space="preserve">PRJ003</t>
  </si>
  <si>
    <t xml:space="preserve">Certification ISO</t>
  </si>
  <si>
    <t xml:space="preserve">Ahmed Ben Ali</t>
  </si>
  <si>
    <t xml:space="preserve">Moyenne</t>
  </si>
  <si>
    <t xml:space="preserve">PRJ004</t>
  </si>
  <si>
    <t xml:space="preserve">Plateforme E-commerce</t>
  </si>
  <si>
    <t xml:space="preserve">Amine Ayari</t>
  </si>
  <si>
    <t xml:space="preserve">PRJ005</t>
  </si>
  <si>
    <t xml:space="preserve">Formation Leadership</t>
  </si>
  <si>
    <t xml:space="preserve">Fatima Mrad</t>
  </si>
  <si>
    <t xml:space="preserve">Basse</t>
  </si>
  <si>
    <t xml:space="preserve">PRJ006</t>
  </si>
  <si>
    <t xml:space="preserve">Nouveau Siège Social</t>
  </si>
  <si>
    <t xml:space="preserve">Youssef Khelifi</t>
  </si>
  <si>
    <t xml:space="preserve">PRJ007</t>
  </si>
  <si>
    <t xml:space="preserve">Campagne Brand 2024</t>
  </si>
  <si>
    <t xml:space="preserve">Leila Hamdi</t>
  </si>
  <si>
    <t xml:space="preserve">PRJ008</t>
  </si>
  <si>
    <t xml:space="preserve">Audit Cybersécurité</t>
  </si>
  <si>
    <t xml:space="preserve">Karim Slimane</t>
  </si>
  <si>
    <t xml:space="preserve">PRJ009</t>
  </si>
  <si>
    <t xml:space="preserve">Diversif. Produits</t>
  </si>
  <si>
    <t xml:space="preserve">Tarek Marzouki</t>
  </si>
  <si>
    <t xml:space="preserve">Planifié</t>
  </si>
  <si>
    <t xml:space="preserve">PRJ010</t>
  </si>
  <si>
    <t xml:space="preserve">BI &amp; Analytique</t>
  </si>
  <si>
    <t xml:space="preserve">Nadia Gharsalli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</si>
</sst>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&quot; TND&quot;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45A32"/>
      <name val="Arial"/>
      <family val="0"/>
      <charset val="1"/>
    </font>
    <font>
      <sz val="12"/>
      <color rgb="FF145A32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784212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2C3E50"/>
        <bgColor rgb="FF1F4E79"/>
      </patternFill>
    </fill>
    <fill>
      <patternFill patternType="solid">
        <fgColor rgb="FFECF0F1"/>
        <bgColor rgb="FFDCE6F1"/>
      </patternFill>
    </fill>
    <fill>
      <patternFill patternType="solid">
        <fgColor rgb="FF1F4E79"/>
        <bgColor rgb="FF1A5276"/>
      </patternFill>
    </fill>
    <fill>
      <patternFill patternType="solid">
        <fgColor rgb="FFDCE6F1"/>
        <bgColor rgb="FFE8DAEF"/>
      </patternFill>
    </fill>
    <fill>
      <patternFill patternType="solid">
        <fgColor rgb="FFFFFFFF"/>
        <bgColor rgb="FFECF0F1"/>
      </patternFill>
    </fill>
    <fill>
      <patternFill patternType="solid">
        <fgColor rgb="FF145A32"/>
        <bgColor rgb="FF1A5276"/>
      </patternFill>
    </fill>
    <fill>
      <patternFill patternType="solid">
        <fgColor rgb="FFD5F5E7"/>
        <bgColor rgb="FFDCE6F1"/>
      </patternFill>
    </fill>
    <fill>
      <patternFill patternType="solid">
        <fgColor rgb="FF7B241C"/>
        <bgColor rgb="FF784212"/>
      </patternFill>
    </fill>
    <fill>
      <patternFill patternType="solid">
        <fgColor rgb="FFFADBD8"/>
        <bgColor rgb="FFE8DAEF"/>
      </patternFill>
    </fill>
    <fill>
      <patternFill patternType="solid">
        <fgColor rgb="FF4A235A"/>
        <bgColor rgb="FF2C3E50"/>
      </patternFill>
    </fill>
    <fill>
      <patternFill patternType="solid">
        <fgColor rgb="FFE8DAEF"/>
        <bgColor rgb="FFDCE6F1"/>
      </patternFill>
    </fill>
    <fill>
      <patternFill patternType="solid">
        <fgColor rgb="FF117A6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235A"/>
          <bgColor rgb="FF000000"/>
        </patternFill>
      </fill>
    </dxf>
    <dxf>
      <fill>
        <patternFill patternType="solid">
          <fgColor rgb="FFE8DA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117A65"/>
      <rgbColor rgb="FFC0C0C0"/>
      <rgbColor rgb="FF888888"/>
      <rgbColor rgb="FF9999FF"/>
      <rgbColor rgb="FF784212"/>
      <rgbColor rgb="FFECF0F1"/>
      <rgbColor rgb="FFD5F5E7"/>
      <rgbColor rgb="FF4A235A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1A252F"/>
      <rgbColor rgb="FF7B241C"/>
      <rgbColor rgb="FF993366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30" hidden="false" customHeight="true" outlineLevel="0" collapsed="false">
      <c r="A3" s="3" t="s">
        <v>1</v>
      </c>
      <c r="C3" s="3" t="s">
        <v>2</v>
      </c>
      <c r="E3" s="3" t="s">
        <v>3</v>
      </c>
      <c r="G3" s="3" t="s">
        <v>4</v>
      </c>
      <c r="I3" s="3" t="s">
        <v>5</v>
      </c>
    </row>
    <row r="4" customFormat="false" ht="30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  <c r="I4" s="4" t="s">
        <v>10</v>
      </c>
    </row>
    <row r="6" customFormat="false" ht="30" hidden="false" customHeight="true" outlineLevel="0" collapsed="false">
      <c r="A6" s="3" t="s">
        <v>11</v>
      </c>
      <c r="C6" s="3" t="s">
        <v>12</v>
      </c>
      <c r="E6" s="3" t="s">
        <v>13</v>
      </c>
      <c r="G6" s="3" t="s">
        <v>14</v>
      </c>
      <c r="I6" s="3" t="s">
        <v>15</v>
      </c>
    </row>
    <row r="7" customFormat="false" ht="30" hidden="false" customHeight="true" outlineLevel="0" collapsed="false">
      <c r="A7" s="4" t="s">
        <v>16</v>
      </c>
      <c r="C7" s="4" t="s">
        <v>17</v>
      </c>
      <c r="E7" s="4" t="s">
        <v>18</v>
      </c>
      <c r="G7" s="4" t="s">
        <v>19</v>
      </c>
      <c r="I7" s="4" t="s">
        <v>20</v>
      </c>
    </row>
    <row r="9" customFormat="false" ht="15" hidden="false" customHeight="true" outlineLevel="0" collapsed="false">
      <c r="A9" s="5" t="s">
        <v>21</v>
      </c>
      <c r="B9" s="5"/>
      <c r="C9" s="5"/>
      <c r="D9" s="5"/>
      <c r="E9" s="5"/>
      <c r="F9" s="5"/>
      <c r="G9" s="5"/>
      <c r="H9" s="5"/>
      <c r="I9" s="5"/>
      <c r="J9" s="5"/>
    </row>
  </sheetData>
  <mergeCells count="2">
    <mergeCell ref="A1:J1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25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24.75" hidden="false" customHeight="tru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</row>
    <row r="2" customFormat="false" ht="15" hidden="false" customHeight="true" outlineLevel="0" collapsed="false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8" t="n">
        <v>41369</v>
      </c>
      <c r="G2" s="9" t="n">
        <v>46024</v>
      </c>
      <c r="H2" s="7" t="n">
        <v>13</v>
      </c>
      <c r="I2" s="7" t="s">
        <v>37</v>
      </c>
      <c r="J2" s="7" t="s">
        <v>38</v>
      </c>
    </row>
    <row r="3" customFormat="false" ht="15" hidden="false" customHeight="true" outlineLevel="0" collapsed="false">
      <c r="A3" s="10" t="s">
        <v>39</v>
      </c>
      <c r="B3" s="10" t="s">
        <v>40</v>
      </c>
      <c r="C3" s="10" t="s">
        <v>41</v>
      </c>
      <c r="D3" s="10" t="s">
        <v>35</v>
      </c>
      <c r="E3" s="10" t="s">
        <v>42</v>
      </c>
      <c r="F3" s="11" t="n">
        <v>40216</v>
      </c>
      <c r="G3" s="12" t="n">
        <v>95000</v>
      </c>
      <c r="H3" s="10" t="n">
        <v>16.1</v>
      </c>
      <c r="I3" s="10" t="s">
        <v>37</v>
      </c>
      <c r="J3" s="10" t="s">
        <v>43</v>
      </c>
    </row>
    <row r="4" customFormat="false" ht="1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35</v>
      </c>
      <c r="E4" s="7" t="s">
        <v>47</v>
      </c>
      <c r="F4" s="8" t="n">
        <v>44183</v>
      </c>
      <c r="G4" s="9" t="n">
        <v>74925</v>
      </c>
      <c r="H4" s="7" t="n">
        <v>5.3</v>
      </c>
      <c r="I4" s="7" t="s">
        <v>37</v>
      </c>
      <c r="J4" s="7" t="s">
        <v>48</v>
      </c>
    </row>
    <row r="5" customFormat="false" ht="15" hidden="false" customHeight="true" outlineLevel="0" collapsed="false">
      <c r="A5" s="10" t="s">
        <v>49</v>
      </c>
      <c r="B5" s="10" t="s">
        <v>50</v>
      </c>
      <c r="C5" s="10" t="s">
        <v>51</v>
      </c>
      <c r="D5" s="10" t="s">
        <v>35</v>
      </c>
      <c r="E5" s="10" t="s">
        <v>52</v>
      </c>
      <c r="F5" s="11" t="n">
        <v>44643</v>
      </c>
      <c r="G5" s="12" t="n">
        <v>28425</v>
      </c>
      <c r="H5" s="10" t="n">
        <v>4</v>
      </c>
      <c r="I5" s="10" t="s">
        <v>37</v>
      </c>
      <c r="J5" s="10" t="s">
        <v>48</v>
      </c>
    </row>
    <row r="6" customFormat="false" ht="15" hidden="false" customHeight="true" outlineLevel="0" collapsed="false">
      <c r="A6" s="7" t="s">
        <v>53</v>
      </c>
      <c r="B6" s="7" t="s">
        <v>50</v>
      </c>
      <c r="C6" s="7" t="s">
        <v>54</v>
      </c>
      <c r="D6" s="7" t="s">
        <v>35</v>
      </c>
      <c r="E6" s="7" t="s">
        <v>47</v>
      </c>
      <c r="F6" s="8" t="n">
        <v>40587</v>
      </c>
      <c r="G6" s="9" t="n">
        <v>50059</v>
      </c>
      <c r="H6" s="7" t="n">
        <v>15.1</v>
      </c>
      <c r="I6" s="7" t="s">
        <v>37</v>
      </c>
      <c r="J6" s="7" t="s">
        <v>38</v>
      </c>
    </row>
    <row r="7" customFormat="false" ht="15" hidden="false" customHeight="true" outlineLevel="0" collapsed="false">
      <c r="A7" s="10" t="s">
        <v>55</v>
      </c>
      <c r="B7" s="10" t="s">
        <v>56</v>
      </c>
      <c r="C7" s="10" t="s">
        <v>34</v>
      </c>
      <c r="D7" s="10" t="s">
        <v>35</v>
      </c>
      <c r="E7" s="10" t="s">
        <v>52</v>
      </c>
      <c r="F7" s="11" t="n">
        <v>44426</v>
      </c>
      <c r="G7" s="12" t="n">
        <v>30847</v>
      </c>
      <c r="H7" s="10" t="n">
        <v>4.6</v>
      </c>
      <c r="I7" s="10" t="s">
        <v>37</v>
      </c>
      <c r="J7" s="10" t="s">
        <v>38</v>
      </c>
    </row>
    <row r="8" customFormat="false" ht="15" hidden="false" customHeight="true" outlineLevel="0" collapsed="false">
      <c r="A8" s="7" t="s">
        <v>57</v>
      </c>
      <c r="B8" s="7" t="s">
        <v>58</v>
      </c>
      <c r="C8" s="7" t="s">
        <v>59</v>
      </c>
      <c r="D8" s="7" t="s">
        <v>60</v>
      </c>
      <c r="E8" s="7" t="s">
        <v>61</v>
      </c>
      <c r="F8" s="8" t="n">
        <v>42284</v>
      </c>
      <c r="G8" s="9" t="n">
        <v>68535</v>
      </c>
      <c r="H8" s="7" t="n">
        <v>10.5</v>
      </c>
      <c r="I8" s="7" t="s">
        <v>37</v>
      </c>
      <c r="J8" s="7" t="s">
        <v>38</v>
      </c>
    </row>
    <row r="9" customFormat="false" ht="15" hidden="false" customHeight="true" outlineLevel="0" collapsed="false">
      <c r="A9" s="10" t="s">
        <v>62</v>
      </c>
      <c r="B9" s="10" t="s">
        <v>33</v>
      </c>
      <c r="C9" s="10" t="s">
        <v>54</v>
      </c>
      <c r="D9" s="10" t="s">
        <v>60</v>
      </c>
      <c r="E9" s="10" t="s">
        <v>63</v>
      </c>
      <c r="F9" s="11" t="n">
        <v>40733</v>
      </c>
      <c r="G9" s="12" t="n">
        <v>43256</v>
      </c>
      <c r="H9" s="10" t="n">
        <v>14.7</v>
      </c>
      <c r="I9" s="10" t="s">
        <v>37</v>
      </c>
      <c r="J9" s="10" t="s">
        <v>48</v>
      </c>
    </row>
    <row r="10" customFormat="false" ht="15" hidden="false" customHeight="true" outlineLevel="0" collapsed="false">
      <c r="A10" s="7" t="s">
        <v>64</v>
      </c>
      <c r="B10" s="7" t="s">
        <v>65</v>
      </c>
      <c r="C10" s="7" t="s">
        <v>66</v>
      </c>
      <c r="D10" s="7" t="s">
        <v>60</v>
      </c>
      <c r="E10" s="7" t="s">
        <v>67</v>
      </c>
      <c r="F10" s="8" t="n">
        <v>41587</v>
      </c>
      <c r="G10" s="9" t="n">
        <v>51283</v>
      </c>
      <c r="H10" s="7" t="n">
        <v>12.4</v>
      </c>
      <c r="I10" s="7" t="s">
        <v>37</v>
      </c>
      <c r="J10" s="7" t="s">
        <v>38</v>
      </c>
    </row>
    <row r="11" customFormat="false" ht="15" hidden="false" customHeight="true" outlineLevel="0" collapsed="false">
      <c r="A11" s="10" t="s">
        <v>68</v>
      </c>
      <c r="B11" s="10" t="s">
        <v>33</v>
      </c>
      <c r="C11" s="10" t="s">
        <v>59</v>
      </c>
      <c r="D11" s="10" t="s">
        <v>60</v>
      </c>
      <c r="E11" s="10" t="s">
        <v>61</v>
      </c>
      <c r="F11" s="11" t="n">
        <v>41134</v>
      </c>
      <c r="G11" s="12" t="n">
        <v>44043</v>
      </c>
      <c r="H11" s="10" t="n">
        <v>13.6</v>
      </c>
      <c r="I11" s="10" t="s">
        <v>37</v>
      </c>
      <c r="J11" s="10" t="s">
        <v>69</v>
      </c>
    </row>
    <row r="12" customFormat="false" ht="15" hidden="false" customHeight="true" outlineLevel="0" collapsed="false">
      <c r="A12" s="7" t="s">
        <v>70</v>
      </c>
      <c r="B12" s="7" t="s">
        <v>71</v>
      </c>
      <c r="C12" s="7" t="s">
        <v>72</v>
      </c>
      <c r="D12" s="7" t="s">
        <v>60</v>
      </c>
      <c r="E12" s="7" t="s">
        <v>63</v>
      </c>
      <c r="F12" s="8" t="n">
        <v>40342</v>
      </c>
      <c r="G12" s="9" t="n">
        <v>43010</v>
      </c>
      <c r="H12" s="7" t="n">
        <v>15.8</v>
      </c>
      <c r="I12" s="7" t="s">
        <v>37</v>
      </c>
      <c r="J12" s="7" t="s">
        <v>69</v>
      </c>
    </row>
    <row r="13" customFormat="false" ht="15" hidden="false" customHeight="true" outlineLevel="0" collapsed="false">
      <c r="A13" s="10" t="s">
        <v>73</v>
      </c>
      <c r="B13" s="10" t="s">
        <v>33</v>
      </c>
      <c r="C13" s="10" t="s">
        <v>46</v>
      </c>
      <c r="D13" s="10" t="s">
        <v>60</v>
      </c>
      <c r="E13" s="10" t="s">
        <v>61</v>
      </c>
      <c r="F13" s="11" t="n">
        <v>41594</v>
      </c>
      <c r="G13" s="12" t="n">
        <v>48622</v>
      </c>
      <c r="H13" s="10" t="n">
        <v>12.4</v>
      </c>
      <c r="I13" s="10" t="s">
        <v>37</v>
      </c>
      <c r="J13" s="10" t="s">
        <v>48</v>
      </c>
    </row>
    <row r="14" customFormat="false" ht="15" hidden="false" customHeight="true" outlineLevel="0" collapsed="false">
      <c r="A14" s="7" t="s">
        <v>74</v>
      </c>
      <c r="B14" s="7" t="s">
        <v>75</v>
      </c>
      <c r="C14" s="7" t="s">
        <v>76</v>
      </c>
      <c r="D14" s="7" t="s">
        <v>60</v>
      </c>
      <c r="E14" s="7" t="s">
        <v>67</v>
      </c>
      <c r="F14" s="8" t="n">
        <v>41626</v>
      </c>
      <c r="G14" s="9" t="n">
        <v>37150</v>
      </c>
      <c r="H14" s="7" t="n">
        <v>12.3</v>
      </c>
      <c r="I14" s="7" t="s">
        <v>37</v>
      </c>
      <c r="J14" s="7" t="s">
        <v>77</v>
      </c>
    </row>
    <row r="15" customFormat="false" ht="15" hidden="false" customHeight="true" outlineLevel="0" collapsed="false">
      <c r="A15" s="10" t="s">
        <v>78</v>
      </c>
      <c r="B15" s="10" t="s">
        <v>71</v>
      </c>
      <c r="C15" s="10" t="s">
        <v>79</v>
      </c>
      <c r="D15" s="10" t="s">
        <v>60</v>
      </c>
      <c r="E15" s="10" t="s">
        <v>67</v>
      </c>
      <c r="F15" s="11" t="n">
        <v>41350</v>
      </c>
      <c r="G15" s="12" t="n">
        <v>51723</v>
      </c>
      <c r="H15" s="10" t="n">
        <v>13</v>
      </c>
      <c r="I15" s="10" t="s">
        <v>37</v>
      </c>
      <c r="J15" s="10" t="s">
        <v>48</v>
      </c>
    </row>
    <row r="16" customFormat="false" ht="15" hidden="false" customHeight="true" outlineLevel="0" collapsed="false">
      <c r="A16" s="7" t="s">
        <v>80</v>
      </c>
      <c r="B16" s="7" t="s">
        <v>71</v>
      </c>
      <c r="C16" s="7" t="s">
        <v>81</v>
      </c>
      <c r="D16" s="7" t="s">
        <v>82</v>
      </c>
      <c r="E16" s="7" t="s">
        <v>83</v>
      </c>
      <c r="F16" s="8" t="n">
        <v>44879</v>
      </c>
      <c r="G16" s="9" t="n">
        <v>38484</v>
      </c>
      <c r="H16" s="7" t="n">
        <v>3.4</v>
      </c>
      <c r="I16" s="7" t="s">
        <v>84</v>
      </c>
      <c r="J16" s="7" t="s">
        <v>77</v>
      </c>
    </row>
    <row r="17" customFormat="false" ht="15" hidden="false" customHeight="true" outlineLevel="0" collapsed="false">
      <c r="A17" s="10" t="s">
        <v>85</v>
      </c>
      <c r="B17" s="10" t="s">
        <v>33</v>
      </c>
      <c r="C17" s="10" t="s">
        <v>86</v>
      </c>
      <c r="D17" s="10" t="s">
        <v>82</v>
      </c>
      <c r="E17" s="10" t="s">
        <v>83</v>
      </c>
      <c r="F17" s="11" t="n">
        <v>43238</v>
      </c>
      <c r="G17" s="12" t="n">
        <v>58674</v>
      </c>
      <c r="H17" s="10" t="n">
        <v>7.9</v>
      </c>
      <c r="I17" s="10" t="s">
        <v>37</v>
      </c>
      <c r="J17" s="10" t="s">
        <v>38</v>
      </c>
    </row>
    <row r="18" customFormat="false" ht="15" hidden="false" customHeight="true" outlineLevel="0" collapsed="false">
      <c r="A18" s="7" t="s">
        <v>87</v>
      </c>
      <c r="B18" s="7" t="s">
        <v>88</v>
      </c>
      <c r="C18" s="7" t="s">
        <v>46</v>
      </c>
      <c r="D18" s="7" t="s">
        <v>82</v>
      </c>
      <c r="E18" s="7" t="s">
        <v>89</v>
      </c>
      <c r="F18" s="8" t="n">
        <v>42045</v>
      </c>
      <c r="G18" s="9" t="n">
        <v>70006</v>
      </c>
      <c r="H18" s="7" t="n">
        <v>11.1</v>
      </c>
      <c r="I18" s="7" t="s">
        <v>37</v>
      </c>
      <c r="J18" s="7" t="s">
        <v>48</v>
      </c>
    </row>
    <row r="19" customFormat="false" ht="15" hidden="false" customHeight="true" outlineLevel="0" collapsed="false">
      <c r="A19" s="10" t="s">
        <v>90</v>
      </c>
      <c r="B19" s="10" t="s">
        <v>91</v>
      </c>
      <c r="C19" s="10" t="s">
        <v>92</v>
      </c>
      <c r="D19" s="10" t="s">
        <v>82</v>
      </c>
      <c r="E19" s="10" t="s">
        <v>83</v>
      </c>
      <c r="F19" s="11" t="n">
        <v>43176</v>
      </c>
      <c r="G19" s="12" t="n">
        <v>45261</v>
      </c>
      <c r="H19" s="10" t="n">
        <v>8</v>
      </c>
      <c r="I19" s="10" t="s">
        <v>37</v>
      </c>
      <c r="J19" s="10" t="s">
        <v>38</v>
      </c>
    </row>
    <row r="20" customFormat="false" ht="15" hidden="false" customHeight="true" outlineLevel="0" collapsed="false">
      <c r="A20" s="7" t="s">
        <v>93</v>
      </c>
      <c r="B20" s="7" t="s">
        <v>40</v>
      </c>
      <c r="C20" s="7" t="s">
        <v>41</v>
      </c>
      <c r="D20" s="7" t="s">
        <v>82</v>
      </c>
      <c r="E20" s="7" t="s">
        <v>83</v>
      </c>
      <c r="F20" s="8" t="n">
        <v>41085</v>
      </c>
      <c r="G20" s="9" t="n">
        <v>41035</v>
      </c>
      <c r="H20" s="7" t="n">
        <v>13.8</v>
      </c>
      <c r="I20" s="7" t="s">
        <v>37</v>
      </c>
      <c r="J20" s="7" t="s">
        <v>43</v>
      </c>
    </row>
    <row r="21" customFormat="false" ht="15" hidden="false" customHeight="true" outlineLevel="0" collapsed="false">
      <c r="A21" s="10" t="s">
        <v>94</v>
      </c>
      <c r="B21" s="10" t="s">
        <v>45</v>
      </c>
      <c r="C21" s="10" t="s">
        <v>79</v>
      </c>
      <c r="D21" s="10" t="s">
        <v>82</v>
      </c>
      <c r="E21" s="10" t="s">
        <v>89</v>
      </c>
      <c r="F21" s="11" t="n">
        <v>40221</v>
      </c>
      <c r="G21" s="12" t="n">
        <v>60021</v>
      </c>
      <c r="H21" s="10" t="n">
        <v>16.1</v>
      </c>
      <c r="I21" s="10" t="s">
        <v>37</v>
      </c>
      <c r="J21" s="10" t="s">
        <v>69</v>
      </c>
    </row>
    <row r="22" customFormat="false" ht="15" hidden="false" customHeight="true" outlineLevel="0" collapsed="false">
      <c r="A22" s="7" t="s">
        <v>95</v>
      </c>
      <c r="B22" s="7" t="s">
        <v>96</v>
      </c>
      <c r="C22" s="7" t="s">
        <v>97</v>
      </c>
      <c r="D22" s="7" t="s">
        <v>82</v>
      </c>
      <c r="E22" s="7" t="s">
        <v>83</v>
      </c>
      <c r="F22" s="8" t="n">
        <v>40893</v>
      </c>
      <c r="G22" s="9" t="n">
        <v>33161</v>
      </c>
      <c r="H22" s="7" t="n">
        <v>14.3</v>
      </c>
      <c r="I22" s="7" t="s">
        <v>37</v>
      </c>
      <c r="J22" s="7" t="s">
        <v>38</v>
      </c>
    </row>
    <row r="23" customFormat="false" ht="15" hidden="false" customHeight="true" outlineLevel="0" collapsed="false">
      <c r="A23" s="10" t="s">
        <v>98</v>
      </c>
      <c r="B23" s="10" t="s">
        <v>56</v>
      </c>
      <c r="C23" s="10" t="s">
        <v>72</v>
      </c>
      <c r="D23" s="10" t="s">
        <v>99</v>
      </c>
      <c r="E23" s="10" t="s">
        <v>100</v>
      </c>
      <c r="F23" s="11" t="n">
        <v>41910</v>
      </c>
      <c r="G23" s="12" t="n">
        <v>38821</v>
      </c>
      <c r="H23" s="10" t="n">
        <v>11.5</v>
      </c>
      <c r="I23" s="10" t="s">
        <v>37</v>
      </c>
      <c r="J23" s="10" t="s">
        <v>77</v>
      </c>
    </row>
    <row r="24" customFormat="false" ht="15" hidden="false" customHeight="true" outlineLevel="0" collapsed="false">
      <c r="A24" s="7" t="s">
        <v>101</v>
      </c>
      <c r="B24" s="7" t="s">
        <v>33</v>
      </c>
      <c r="C24" s="7" t="s">
        <v>54</v>
      </c>
      <c r="D24" s="7" t="s">
        <v>99</v>
      </c>
      <c r="E24" s="7" t="s">
        <v>100</v>
      </c>
      <c r="F24" s="8" t="n">
        <v>41618</v>
      </c>
      <c r="G24" s="9" t="n">
        <v>73211</v>
      </c>
      <c r="H24" s="7" t="n">
        <v>12.3</v>
      </c>
      <c r="I24" s="7" t="s">
        <v>84</v>
      </c>
      <c r="J24" s="7" t="s">
        <v>48</v>
      </c>
    </row>
    <row r="25" customFormat="false" ht="15" hidden="false" customHeight="true" outlineLevel="0" collapsed="false">
      <c r="A25" s="10" t="s">
        <v>102</v>
      </c>
      <c r="B25" s="10" t="s">
        <v>50</v>
      </c>
      <c r="C25" s="10" t="s">
        <v>41</v>
      </c>
      <c r="D25" s="10" t="s">
        <v>99</v>
      </c>
      <c r="E25" s="10" t="s">
        <v>100</v>
      </c>
      <c r="F25" s="11" t="n">
        <v>40641</v>
      </c>
      <c r="G25" s="12" t="n">
        <v>57588</v>
      </c>
      <c r="H25" s="10" t="n">
        <v>15</v>
      </c>
      <c r="I25" s="10" t="s">
        <v>37</v>
      </c>
      <c r="J25" s="10" t="s">
        <v>38</v>
      </c>
    </row>
    <row r="26" customFormat="false" ht="15" hidden="false" customHeight="true" outlineLevel="0" collapsed="false">
      <c r="A26" s="7" t="s">
        <v>103</v>
      </c>
      <c r="B26" s="7" t="s">
        <v>104</v>
      </c>
      <c r="C26" s="7" t="s">
        <v>79</v>
      </c>
      <c r="D26" s="7" t="s">
        <v>99</v>
      </c>
      <c r="E26" s="7" t="s">
        <v>100</v>
      </c>
      <c r="F26" s="8" t="n">
        <v>43556</v>
      </c>
      <c r="G26" s="9" t="n">
        <v>43080</v>
      </c>
      <c r="H26" s="7" t="n">
        <v>7</v>
      </c>
      <c r="I26" s="7" t="s">
        <v>37</v>
      </c>
      <c r="J26" s="7" t="s">
        <v>38</v>
      </c>
    </row>
    <row r="27" customFormat="false" ht="15" hidden="false" customHeight="true" outlineLevel="0" collapsed="false">
      <c r="A27" s="10" t="s">
        <v>105</v>
      </c>
      <c r="B27" s="10" t="s">
        <v>75</v>
      </c>
      <c r="C27" s="10" t="s">
        <v>106</v>
      </c>
      <c r="D27" s="10" t="s">
        <v>99</v>
      </c>
      <c r="E27" s="10" t="s">
        <v>107</v>
      </c>
      <c r="F27" s="11" t="n">
        <v>42052</v>
      </c>
      <c r="G27" s="12" t="n">
        <v>90000</v>
      </c>
      <c r="H27" s="10" t="n">
        <v>11.1</v>
      </c>
      <c r="I27" s="10" t="s">
        <v>37</v>
      </c>
      <c r="J27" s="10" t="s">
        <v>43</v>
      </c>
    </row>
    <row r="28" customFormat="false" ht="15" hidden="false" customHeight="true" outlineLevel="0" collapsed="false">
      <c r="A28" s="7" t="s">
        <v>108</v>
      </c>
      <c r="B28" s="7" t="s">
        <v>45</v>
      </c>
      <c r="C28" s="7" t="s">
        <v>106</v>
      </c>
      <c r="D28" s="7" t="s">
        <v>99</v>
      </c>
      <c r="E28" s="7" t="s">
        <v>100</v>
      </c>
      <c r="F28" s="8" t="n">
        <v>44488</v>
      </c>
      <c r="G28" s="9" t="n">
        <v>36671</v>
      </c>
      <c r="H28" s="7" t="n">
        <v>4.4</v>
      </c>
      <c r="I28" s="7" t="s">
        <v>84</v>
      </c>
      <c r="J28" s="7" t="s">
        <v>48</v>
      </c>
    </row>
    <row r="29" customFormat="false" ht="15" hidden="false" customHeight="true" outlineLevel="0" collapsed="false">
      <c r="A29" s="10" t="s">
        <v>109</v>
      </c>
      <c r="B29" s="10" t="s">
        <v>56</v>
      </c>
      <c r="C29" s="10" t="s">
        <v>76</v>
      </c>
      <c r="D29" s="10" t="s">
        <v>99</v>
      </c>
      <c r="E29" s="10" t="s">
        <v>107</v>
      </c>
      <c r="F29" s="11" t="n">
        <v>40861</v>
      </c>
      <c r="G29" s="12" t="n">
        <v>90000</v>
      </c>
      <c r="H29" s="10" t="n">
        <v>14.4</v>
      </c>
      <c r="I29" s="10" t="s">
        <v>84</v>
      </c>
      <c r="J29" s="10" t="s">
        <v>69</v>
      </c>
    </row>
    <row r="30" customFormat="false" ht="15" hidden="false" customHeight="true" outlineLevel="0" collapsed="false">
      <c r="A30" s="7" t="s">
        <v>110</v>
      </c>
      <c r="B30" s="7" t="s">
        <v>58</v>
      </c>
      <c r="C30" s="7" t="s">
        <v>81</v>
      </c>
      <c r="D30" s="7" t="s">
        <v>99</v>
      </c>
      <c r="E30" s="7" t="s">
        <v>100</v>
      </c>
      <c r="F30" s="8" t="n">
        <v>44156</v>
      </c>
      <c r="G30" s="9" t="n">
        <v>31550</v>
      </c>
      <c r="H30" s="7" t="n">
        <v>5.3</v>
      </c>
      <c r="I30" s="7" t="s">
        <v>37</v>
      </c>
      <c r="J30" s="7" t="s">
        <v>38</v>
      </c>
    </row>
    <row r="31" customFormat="false" ht="15" hidden="false" customHeight="true" outlineLevel="0" collapsed="false">
      <c r="A31" s="10" t="s">
        <v>111</v>
      </c>
      <c r="B31" s="10" t="s">
        <v>88</v>
      </c>
      <c r="C31" s="10" t="s">
        <v>76</v>
      </c>
      <c r="D31" s="10" t="s">
        <v>99</v>
      </c>
      <c r="E31" s="10" t="s">
        <v>107</v>
      </c>
      <c r="F31" s="11" t="n">
        <v>41382</v>
      </c>
      <c r="G31" s="12" t="n">
        <v>90000</v>
      </c>
      <c r="H31" s="10" t="n">
        <v>12.9</v>
      </c>
      <c r="I31" s="10" t="s">
        <v>37</v>
      </c>
      <c r="J31" s="10" t="s">
        <v>48</v>
      </c>
    </row>
    <row r="32" customFormat="false" ht="15" hidden="false" customHeight="true" outlineLevel="0" collapsed="false">
      <c r="A32" s="7" t="s">
        <v>112</v>
      </c>
      <c r="B32" s="7" t="s">
        <v>71</v>
      </c>
      <c r="C32" s="7" t="s">
        <v>79</v>
      </c>
      <c r="D32" s="7" t="s">
        <v>113</v>
      </c>
      <c r="E32" s="7" t="s">
        <v>114</v>
      </c>
      <c r="F32" s="8" t="n">
        <v>40781</v>
      </c>
      <c r="G32" s="9" t="n">
        <v>44371</v>
      </c>
      <c r="H32" s="7" t="n">
        <v>14.6</v>
      </c>
      <c r="I32" s="7" t="s">
        <v>37</v>
      </c>
      <c r="J32" s="7" t="s">
        <v>77</v>
      </c>
    </row>
    <row r="33" customFormat="false" ht="15" hidden="false" customHeight="true" outlineLevel="0" collapsed="false">
      <c r="A33" s="10" t="s">
        <v>115</v>
      </c>
      <c r="B33" s="10" t="s">
        <v>116</v>
      </c>
      <c r="C33" s="10" t="s">
        <v>106</v>
      </c>
      <c r="D33" s="10" t="s">
        <v>113</v>
      </c>
      <c r="E33" s="10" t="s">
        <v>117</v>
      </c>
      <c r="F33" s="11" t="n">
        <v>44657</v>
      </c>
      <c r="G33" s="12" t="n">
        <v>34112</v>
      </c>
      <c r="H33" s="10" t="n">
        <v>4</v>
      </c>
      <c r="I33" s="10" t="s">
        <v>37</v>
      </c>
      <c r="J33" s="10" t="s">
        <v>48</v>
      </c>
    </row>
    <row r="34" customFormat="false" ht="15" hidden="false" customHeight="true" outlineLevel="0" collapsed="false">
      <c r="A34" s="7" t="s">
        <v>118</v>
      </c>
      <c r="B34" s="7" t="s">
        <v>75</v>
      </c>
      <c r="C34" s="7" t="s">
        <v>46</v>
      </c>
      <c r="D34" s="7" t="s">
        <v>113</v>
      </c>
      <c r="E34" s="7" t="s">
        <v>114</v>
      </c>
      <c r="F34" s="8" t="n">
        <v>41091</v>
      </c>
      <c r="G34" s="9" t="n">
        <v>31842</v>
      </c>
      <c r="H34" s="7" t="n">
        <v>13.7</v>
      </c>
      <c r="I34" s="7" t="s">
        <v>37</v>
      </c>
      <c r="J34" s="7" t="s">
        <v>48</v>
      </c>
    </row>
    <row r="35" customFormat="false" ht="15" hidden="false" customHeight="true" outlineLevel="0" collapsed="false">
      <c r="A35" s="10" t="s">
        <v>119</v>
      </c>
      <c r="B35" s="10" t="s">
        <v>88</v>
      </c>
      <c r="C35" s="10" t="s">
        <v>72</v>
      </c>
      <c r="D35" s="10" t="s">
        <v>113</v>
      </c>
      <c r="E35" s="10" t="s">
        <v>114</v>
      </c>
      <c r="F35" s="11" t="n">
        <v>44461</v>
      </c>
      <c r="G35" s="12" t="n">
        <v>73651</v>
      </c>
      <c r="H35" s="10" t="n">
        <v>4.5</v>
      </c>
      <c r="I35" s="10" t="s">
        <v>37</v>
      </c>
      <c r="J35" s="10" t="s">
        <v>48</v>
      </c>
    </row>
    <row r="36" customFormat="false" ht="15" hidden="false" customHeight="true" outlineLevel="0" collapsed="false">
      <c r="A36" s="7" t="s">
        <v>120</v>
      </c>
      <c r="B36" s="7" t="s">
        <v>104</v>
      </c>
      <c r="C36" s="7" t="s">
        <v>121</v>
      </c>
      <c r="D36" s="7" t="s">
        <v>113</v>
      </c>
      <c r="E36" s="7" t="s">
        <v>117</v>
      </c>
      <c r="F36" s="8" t="n">
        <v>43817</v>
      </c>
      <c r="G36" s="9" t="n">
        <v>31832</v>
      </c>
      <c r="H36" s="7" t="n">
        <v>6.3</v>
      </c>
      <c r="I36" s="7" t="s">
        <v>37</v>
      </c>
      <c r="J36" s="7" t="s">
        <v>38</v>
      </c>
    </row>
    <row r="37" customFormat="false" ht="15" hidden="false" customHeight="true" outlineLevel="0" collapsed="false">
      <c r="A37" s="10" t="s">
        <v>122</v>
      </c>
      <c r="B37" s="10" t="s">
        <v>88</v>
      </c>
      <c r="C37" s="10" t="s">
        <v>79</v>
      </c>
      <c r="D37" s="10" t="s">
        <v>113</v>
      </c>
      <c r="E37" s="10" t="s">
        <v>117</v>
      </c>
      <c r="F37" s="11" t="n">
        <v>43006</v>
      </c>
      <c r="G37" s="12" t="n">
        <v>66284</v>
      </c>
      <c r="H37" s="10" t="n">
        <v>8.5</v>
      </c>
      <c r="I37" s="10" t="s">
        <v>37</v>
      </c>
      <c r="J37" s="10" t="s">
        <v>77</v>
      </c>
    </row>
    <row r="38" customFormat="false" ht="15" hidden="false" customHeight="true" outlineLevel="0" collapsed="false">
      <c r="A38" s="7" t="s">
        <v>123</v>
      </c>
      <c r="B38" s="7" t="s">
        <v>56</v>
      </c>
      <c r="C38" s="7" t="s">
        <v>86</v>
      </c>
      <c r="D38" s="7" t="s">
        <v>113</v>
      </c>
      <c r="E38" s="7" t="s">
        <v>117</v>
      </c>
      <c r="F38" s="8" t="n">
        <v>40819</v>
      </c>
      <c r="G38" s="9" t="n">
        <v>40178</v>
      </c>
      <c r="H38" s="7" t="n">
        <v>14.5</v>
      </c>
      <c r="I38" s="7" t="s">
        <v>37</v>
      </c>
      <c r="J38" s="7" t="s">
        <v>43</v>
      </c>
    </row>
    <row r="39" customFormat="false" ht="15" hidden="false" customHeight="true" outlineLevel="0" collapsed="false">
      <c r="A39" s="10" t="s">
        <v>124</v>
      </c>
      <c r="B39" s="10" t="s">
        <v>56</v>
      </c>
      <c r="C39" s="10" t="s">
        <v>121</v>
      </c>
      <c r="D39" s="10" t="s">
        <v>113</v>
      </c>
      <c r="E39" s="10" t="s">
        <v>117</v>
      </c>
      <c r="F39" s="11" t="n">
        <v>43485</v>
      </c>
      <c r="G39" s="12" t="n">
        <v>65940</v>
      </c>
      <c r="H39" s="10" t="n">
        <v>7.2</v>
      </c>
      <c r="I39" s="10" t="s">
        <v>37</v>
      </c>
      <c r="J39" s="10" t="s">
        <v>38</v>
      </c>
    </row>
    <row r="40" customFormat="false" ht="15" hidden="false" customHeight="true" outlineLevel="0" collapsed="false">
      <c r="A40" s="7" t="s">
        <v>125</v>
      </c>
      <c r="B40" s="7" t="s">
        <v>88</v>
      </c>
      <c r="C40" s="7" t="s">
        <v>92</v>
      </c>
      <c r="D40" s="7" t="s">
        <v>126</v>
      </c>
      <c r="E40" s="7" t="s">
        <v>127</v>
      </c>
      <c r="F40" s="8" t="n">
        <v>42103</v>
      </c>
      <c r="G40" s="9" t="n">
        <v>74936</v>
      </c>
      <c r="H40" s="7" t="n">
        <v>11</v>
      </c>
      <c r="I40" s="7" t="s">
        <v>84</v>
      </c>
      <c r="J40" s="7" t="s">
        <v>48</v>
      </c>
    </row>
    <row r="41" customFormat="false" ht="15" hidden="false" customHeight="true" outlineLevel="0" collapsed="false">
      <c r="A41" s="10" t="s">
        <v>128</v>
      </c>
      <c r="B41" s="10" t="s">
        <v>71</v>
      </c>
      <c r="C41" s="10" t="s">
        <v>34</v>
      </c>
      <c r="D41" s="10" t="s">
        <v>126</v>
      </c>
      <c r="E41" s="10" t="s">
        <v>129</v>
      </c>
      <c r="F41" s="11" t="n">
        <v>40410</v>
      </c>
      <c r="G41" s="12" t="n">
        <v>32754</v>
      </c>
      <c r="H41" s="10" t="n">
        <v>15.6</v>
      </c>
      <c r="I41" s="10" t="s">
        <v>37</v>
      </c>
      <c r="J41" s="10" t="s">
        <v>77</v>
      </c>
    </row>
    <row r="42" customFormat="false" ht="15" hidden="false" customHeight="true" outlineLevel="0" collapsed="false">
      <c r="A42" s="7" t="s">
        <v>130</v>
      </c>
      <c r="B42" s="7" t="s">
        <v>45</v>
      </c>
      <c r="C42" s="7" t="s">
        <v>54</v>
      </c>
      <c r="D42" s="7" t="s">
        <v>126</v>
      </c>
      <c r="E42" s="7" t="s">
        <v>131</v>
      </c>
      <c r="F42" s="8" t="n">
        <v>41710</v>
      </c>
      <c r="G42" s="9" t="n">
        <v>88000</v>
      </c>
      <c r="H42" s="7" t="n">
        <v>12</v>
      </c>
      <c r="I42" s="7" t="s">
        <v>37</v>
      </c>
      <c r="J42" s="7" t="s">
        <v>38</v>
      </c>
    </row>
    <row r="43" customFormat="false" ht="15" hidden="false" customHeight="true" outlineLevel="0" collapsed="false">
      <c r="A43" s="10" t="s">
        <v>132</v>
      </c>
      <c r="B43" s="10" t="s">
        <v>96</v>
      </c>
      <c r="C43" s="10" t="s">
        <v>41</v>
      </c>
      <c r="D43" s="10" t="s">
        <v>126</v>
      </c>
      <c r="E43" s="10" t="s">
        <v>131</v>
      </c>
      <c r="F43" s="11" t="n">
        <v>43444</v>
      </c>
      <c r="G43" s="12" t="n">
        <v>88000</v>
      </c>
      <c r="H43" s="10" t="n">
        <v>7.3</v>
      </c>
      <c r="I43" s="10" t="s">
        <v>37</v>
      </c>
      <c r="J43" s="10" t="s">
        <v>77</v>
      </c>
    </row>
    <row r="44" customFormat="false" ht="15" hidden="false" customHeight="true" outlineLevel="0" collapsed="false">
      <c r="A44" s="7" t="s">
        <v>133</v>
      </c>
      <c r="B44" s="7" t="s">
        <v>71</v>
      </c>
      <c r="C44" s="7" t="s">
        <v>97</v>
      </c>
      <c r="D44" s="7" t="s">
        <v>126</v>
      </c>
      <c r="E44" s="7" t="s">
        <v>129</v>
      </c>
      <c r="F44" s="8" t="n">
        <v>40611</v>
      </c>
      <c r="G44" s="9" t="n">
        <v>71475</v>
      </c>
      <c r="H44" s="7" t="n">
        <v>15.1</v>
      </c>
      <c r="I44" s="7" t="s">
        <v>37</v>
      </c>
      <c r="J44" s="7" t="s">
        <v>38</v>
      </c>
    </row>
    <row r="45" customFormat="false" ht="15" hidden="false" customHeight="true" outlineLevel="0" collapsed="false">
      <c r="A45" s="10" t="s">
        <v>134</v>
      </c>
      <c r="B45" s="10" t="s">
        <v>33</v>
      </c>
      <c r="C45" s="10" t="s">
        <v>51</v>
      </c>
      <c r="D45" s="10" t="s">
        <v>126</v>
      </c>
      <c r="E45" s="10" t="s">
        <v>129</v>
      </c>
      <c r="F45" s="11" t="n">
        <v>41619</v>
      </c>
      <c r="G45" s="12" t="n">
        <v>67638</v>
      </c>
      <c r="H45" s="10" t="n">
        <v>12.3</v>
      </c>
      <c r="I45" s="10" t="s">
        <v>37</v>
      </c>
      <c r="J45" s="10" t="s">
        <v>43</v>
      </c>
    </row>
    <row r="46" customFormat="false" ht="15" hidden="false" customHeight="true" outlineLevel="0" collapsed="false">
      <c r="A46" s="7" t="s">
        <v>135</v>
      </c>
      <c r="B46" s="7" t="s">
        <v>91</v>
      </c>
      <c r="C46" s="7" t="s">
        <v>51</v>
      </c>
      <c r="D46" s="7" t="s">
        <v>126</v>
      </c>
      <c r="E46" s="7" t="s">
        <v>129</v>
      </c>
      <c r="F46" s="8" t="n">
        <v>40230</v>
      </c>
      <c r="G46" s="9" t="n">
        <v>44457</v>
      </c>
      <c r="H46" s="7" t="n">
        <v>16.1</v>
      </c>
      <c r="I46" s="7" t="s">
        <v>37</v>
      </c>
      <c r="J46" s="7" t="s">
        <v>48</v>
      </c>
    </row>
  </sheetData>
  <autoFilter ref="A1:J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8"/>
  </cols>
  <sheetData>
    <row r="1" customFormat="false" ht="15" hidden="false" customHeight="true" outlineLevel="0" collapsed="false">
      <c r="A1" s="13" t="s">
        <v>136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141</v>
      </c>
      <c r="G1" s="13" t="s">
        <v>142</v>
      </c>
      <c r="H1" s="13" t="s">
        <v>143</v>
      </c>
      <c r="I1" s="13" t="s">
        <v>144</v>
      </c>
      <c r="J1" s="13" t="s">
        <v>145</v>
      </c>
      <c r="K1" s="13" t="s">
        <v>146</v>
      </c>
      <c r="M1" s="14" t="s">
        <v>147</v>
      </c>
    </row>
    <row r="2" customFormat="false" ht="15" hidden="false" customHeight="true" outlineLevel="0" collapsed="false">
      <c r="A2" s="15" t="n">
        <v>2021</v>
      </c>
      <c r="B2" s="15" t="s">
        <v>148</v>
      </c>
      <c r="C2" s="16" t="n">
        <v>1850000</v>
      </c>
      <c r="D2" s="16" t="n">
        <v>1200000</v>
      </c>
      <c r="E2" s="16" t="n">
        <f aca="false">C2-D2</f>
        <v>650000</v>
      </c>
      <c r="F2" s="16" t="n">
        <f aca="false">E2*0.62</f>
        <v>403000</v>
      </c>
      <c r="G2" s="17" t="n">
        <f aca="false">F2/C2</f>
        <v>0.217837837837838</v>
      </c>
      <c r="H2" s="16" t="n">
        <v>320000</v>
      </c>
      <c r="I2" s="16" t="n">
        <v>85000</v>
      </c>
      <c r="J2" s="16" t="n">
        <v>95000</v>
      </c>
      <c r="K2" s="16" t="n">
        <v>210000</v>
      </c>
      <c r="M2" s="18" t="n">
        <f aca="false">SUM(C2:C5)</f>
        <v>8900000</v>
      </c>
    </row>
    <row r="3" customFormat="false" ht="15" hidden="false" customHeight="true" outlineLevel="0" collapsed="false">
      <c r="A3" s="10" t="n">
        <v>2021</v>
      </c>
      <c r="B3" s="10" t="s">
        <v>149</v>
      </c>
      <c r="C3" s="12" t="n">
        <v>2100000</v>
      </c>
      <c r="D3" s="12" t="n">
        <v>1350000</v>
      </c>
      <c r="E3" s="12" t="n">
        <f aca="false">C3-D3</f>
        <v>750000</v>
      </c>
      <c r="F3" s="12" t="n">
        <f aca="false">E3*0.62</f>
        <v>465000</v>
      </c>
      <c r="G3" s="19" t="n">
        <f aca="false">F3/C3</f>
        <v>0.221428571428571</v>
      </c>
      <c r="H3" s="12" t="n">
        <v>340000</v>
      </c>
      <c r="I3" s="12" t="n">
        <v>90000</v>
      </c>
      <c r="J3" s="12" t="n">
        <v>110000</v>
      </c>
      <c r="K3" s="12" t="n">
        <v>280000</v>
      </c>
    </row>
    <row r="4" customFormat="false" ht="15" hidden="false" customHeight="true" outlineLevel="0" collapsed="false">
      <c r="A4" s="15" t="n">
        <v>2021</v>
      </c>
      <c r="B4" s="15" t="s">
        <v>150</v>
      </c>
      <c r="C4" s="16" t="n">
        <v>2300000</v>
      </c>
      <c r="D4" s="16" t="n">
        <v>1420000</v>
      </c>
      <c r="E4" s="16" t="n">
        <f aca="false">C4-D4</f>
        <v>880000</v>
      </c>
      <c r="F4" s="16" t="n">
        <f aca="false">E4*0.62</f>
        <v>545600</v>
      </c>
      <c r="G4" s="17" t="n">
        <f aca="false">F4/C4</f>
        <v>0.237217391304348</v>
      </c>
      <c r="H4" s="16" t="n">
        <v>355000</v>
      </c>
      <c r="I4" s="16" t="n">
        <v>88000</v>
      </c>
      <c r="J4" s="16" t="n">
        <v>120000</v>
      </c>
      <c r="K4" s="16" t="n">
        <v>310000</v>
      </c>
    </row>
    <row r="5" customFormat="false" ht="15" hidden="false" customHeight="true" outlineLevel="0" collapsed="false">
      <c r="A5" s="10" t="n">
        <v>2021</v>
      </c>
      <c r="B5" s="10" t="s">
        <v>151</v>
      </c>
      <c r="C5" s="12" t="n">
        <v>2650000</v>
      </c>
      <c r="D5" s="12" t="n">
        <v>1600000</v>
      </c>
      <c r="E5" s="12" t="n">
        <f aca="false">C5-D5</f>
        <v>1050000</v>
      </c>
      <c r="F5" s="12" t="n">
        <f aca="false">E5*0.62</f>
        <v>651000</v>
      </c>
      <c r="G5" s="19" t="n">
        <f aca="false">F5/C5</f>
        <v>0.245660377358491</v>
      </c>
      <c r="H5" s="12" t="n">
        <v>380000</v>
      </c>
      <c r="I5" s="12" t="n">
        <v>95000</v>
      </c>
      <c r="J5" s="12" t="n">
        <v>135000</v>
      </c>
      <c r="K5" s="12" t="n">
        <v>390000</v>
      </c>
    </row>
    <row r="6" customFormat="false" ht="15" hidden="false" customHeight="true" outlineLevel="0" collapsed="false">
      <c r="A6" s="15" t="n">
        <v>2022</v>
      </c>
      <c r="B6" s="15" t="s">
        <v>148</v>
      </c>
      <c r="C6" s="16" t="n">
        <v>2400000</v>
      </c>
      <c r="D6" s="16" t="n">
        <v>1480000</v>
      </c>
      <c r="E6" s="16" t="n">
        <f aca="false">C6-D6</f>
        <v>920000</v>
      </c>
      <c r="F6" s="16" t="n">
        <f aca="false">E6*0.64</f>
        <v>588800</v>
      </c>
      <c r="G6" s="17" t="n">
        <f aca="false">F6/C6</f>
        <v>0.245333333333333</v>
      </c>
      <c r="H6" s="16" t="n">
        <v>360000</v>
      </c>
      <c r="I6" s="16" t="n">
        <v>95000</v>
      </c>
      <c r="J6" s="16" t="n">
        <v>115000</v>
      </c>
      <c r="K6" s="16" t="n">
        <v>295000</v>
      </c>
      <c r="M6" s="18" t="n">
        <f aca="false">SUM(C6:C9)</f>
        <v>11650000</v>
      </c>
    </row>
    <row r="7" customFormat="false" ht="15" hidden="false" customHeight="true" outlineLevel="0" collapsed="false">
      <c r="A7" s="10" t="n">
        <v>2022</v>
      </c>
      <c r="B7" s="10" t="s">
        <v>149</v>
      </c>
      <c r="C7" s="12" t="n">
        <v>2700000</v>
      </c>
      <c r="D7" s="12" t="n">
        <v>1620000</v>
      </c>
      <c r="E7" s="12" t="n">
        <f aca="false">C7-D7</f>
        <v>1080000</v>
      </c>
      <c r="F7" s="12" t="n">
        <f aca="false">E7*0.64</f>
        <v>691200</v>
      </c>
      <c r="G7" s="19" t="n">
        <f aca="false">F7/C7</f>
        <v>0.256</v>
      </c>
      <c r="H7" s="12" t="n">
        <v>385000</v>
      </c>
      <c r="I7" s="12" t="n">
        <v>100000</v>
      </c>
      <c r="J7" s="12" t="n">
        <v>130000</v>
      </c>
      <c r="K7" s="12" t="n">
        <v>345000</v>
      </c>
    </row>
    <row r="8" customFormat="false" ht="15" hidden="false" customHeight="true" outlineLevel="0" collapsed="false">
      <c r="A8" s="15" t="n">
        <v>2022</v>
      </c>
      <c r="B8" s="15" t="s">
        <v>150</v>
      </c>
      <c r="C8" s="16" t="n">
        <v>3100000</v>
      </c>
      <c r="D8" s="16" t="n">
        <v>1800000</v>
      </c>
      <c r="E8" s="16" t="n">
        <f aca="false">C8-D8</f>
        <v>1300000</v>
      </c>
      <c r="F8" s="16" t="n">
        <f aca="false">E8*0.64</f>
        <v>832000</v>
      </c>
      <c r="G8" s="17" t="n">
        <f aca="false">F8/C8</f>
        <v>0.268387096774194</v>
      </c>
      <c r="H8" s="16" t="n">
        <v>410000</v>
      </c>
      <c r="I8" s="16" t="n">
        <v>105000</v>
      </c>
      <c r="J8" s="16" t="n">
        <v>145000</v>
      </c>
      <c r="K8" s="16" t="n">
        <v>420000</v>
      </c>
    </row>
    <row r="9" customFormat="false" ht="15" hidden="false" customHeight="true" outlineLevel="0" collapsed="false">
      <c r="A9" s="10" t="n">
        <v>2022</v>
      </c>
      <c r="B9" s="10" t="s">
        <v>151</v>
      </c>
      <c r="C9" s="12" t="n">
        <v>3450000</v>
      </c>
      <c r="D9" s="12" t="n">
        <v>1950000</v>
      </c>
      <c r="E9" s="12" t="n">
        <f aca="false">C9-D9</f>
        <v>1500000</v>
      </c>
      <c r="F9" s="12" t="n">
        <f aca="false">E9*0.64</f>
        <v>960000</v>
      </c>
      <c r="G9" s="19" t="n">
        <f aca="false">F9/C9</f>
        <v>0.278260869565217</v>
      </c>
      <c r="H9" s="12" t="n">
        <v>440000</v>
      </c>
      <c r="I9" s="12" t="n">
        <v>115000</v>
      </c>
      <c r="J9" s="12" t="n">
        <v>160000</v>
      </c>
      <c r="K9" s="12" t="n">
        <v>510000</v>
      </c>
    </row>
    <row r="10" customFormat="false" ht="15" hidden="false" customHeight="true" outlineLevel="0" collapsed="false">
      <c r="A10" s="15" t="n">
        <v>2023</v>
      </c>
      <c r="B10" s="15" t="s">
        <v>148</v>
      </c>
      <c r="C10" s="16" t="n">
        <v>3200000</v>
      </c>
      <c r="D10" s="16" t="n">
        <v>1850000</v>
      </c>
      <c r="E10" s="16" t="n">
        <f aca="false">C10-D10</f>
        <v>1350000</v>
      </c>
      <c r="F10" s="16" t="n">
        <f aca="false">E10*0.66</f>
        <v>891000</v>
      </c>
      <c r="G10" s="17" t="n">
        <f aca="false">F10/C10</f>
        <v>0.2784375</v>
      </c>
      <c r="H10" s="16" t="n">
        <v>430000</v>
      </c>
      <c r="I10" s="16" t="n">
        <v>118000</v>
      </c>
      <c r="J10" s="16" t="n">
        <v>140000</v>
      </c>
      <c r="K10" s="16" t="n">
        <v>380000</v>
      </c>
      <c r="M10" s="18" t="n">
        <f aca="false">SUM(C10:C13)</f>
        <v>15400000</v>
      </c>
    </row>
    <row r="11" customFormat="false" ht="15" hidden="false" customHeight="true" outlineLevel="0" collapsed="false">
      <c r="A11" s="10" t="n">
        <v>2023</v>
      </c>
      <c r="B11" s="10" t="s">
        <v>149</v>
      </c>
      <c r="C11" s="12" t="n">
        <v>3600000</v>
      </c>
      <c r="D11" s="12" t="n">
        <v>2050000</v>
      </c>
      <c r="E11" s="12" t="n">
        <f aca="false">C11-D11</f>
        <v>1550000</v>
      </c>
      <c r="F11" s="12" t="n">
        <f aca="false">E11*0.66</f>
        <v>1023000</v>
      </c>
      <c r="G11" s="19" t="n">
        <f aca="false">F11/C11</f>
        <v>0.284166666666667</v>
      </c>
      <c r="H11" s="12" t="n">
        <v>460000</v>
      </c>
      <c r="I11" s="12" t="n">
        <v>125000</v>
      </c>
      <c r="J11" s="12" t="n">
        <v>155000</v>
      </c>
      <c r="K11" s="12" t="n">
        <v>445000</v>
      </c>
    </row>
    <row r="12" customFormat="false" ht="15" hidden="false" customHeight="true" outlineLevel="0" collapsed="false">
      <c r="A12" s="15" t="n">
        <v>2023</v>
      </c>
      <c r="B12" s="15" t="s">
        <v>150</v>
      </c>
      <c r="C12" s="16" t="n">
        <v>4100000</v>
      </c>
      <c r="D12" s="16" t="n">
        <v>2300000</v>
      </c>
      <c r="E12" s="16" t="n">
        <f aca="false">C12-D12</f>
        <v>1800000</v>
      </c>
      <c r="F12" s="16" t="n">
        <f aca="false">E12*0.66</f>
        <v>1188000</v>
      </c>
      <c r="G12" s="17" t="n">
        <f aca="false">F12/C12</f>
        <v>0.289756097560976</v>
      </c>
      <c r="H12" s="16" t="n">
        <v>490000</v>
      </c>
      <c r="I12" s="16" t="n">
        <v>130000</v>
      </c>
      <c r="J12" s="16" t="n">
        <v>175000</v>
      </c>
      <c r="K12" s="16" t="n">
        <v>520000</v>
      </c>
    </row>
    <row r="13" customFormat="false" ht="15" hidden="false" customHeight="true" outlineLevel="0" collapsed="false">
      <c r="A13" s="10" t="n">
        <v>2023</v>
      </c>
      <c r="B13" s="10" t="s">
        <v>151</v>
      </c>
      <c r="C13" s="12" t="n">
        <v>4500000</v>
      </c>
      <c r="D13" s="12" t="n">
        <v>2450000</v>
      </c>
      <c r="E13" s="12" t="n">
        <f aca="false">C13-D13</f>
        <v>2050000</v>
      </c>
      <c r="F13" s="12" t="n">
        <f aca="false">E13*0.66</f>
        <v>1353000</v>
      </c>
      <c r="G13" s="19" t="n">
        <f aca="false">F13/C13</f>
        <v>0.300666666666667</v>
      </c>
      <c r="H13" s="12" t="n">
        <v>520000</v>
      </c>
      <c r="I13" s="12" t="n">
        <v>140000</v>
      </c>
      <c r="J13" s="12" t="n">
        <v>190000</v>
      </c>
      <c r="K13" s="12" t="n">
        <v>610000</v>
      </c>
    </row>
    <row r="14" customFormat="false" ht="15" hidden="false" customHeight="true" outlineLevel="0" collapsed="false">
      <c r="A14" s="15" t="n">
        <v>2024</v>
      </c>
      <c r="B14" s="15" t="s">
        <v>148</v>
      </c>
      <c r="C14" s="16" t="n">
        <v>4200000</v>
      </c>
      <c r="D14" s="16" t="n">
        <v>2350000</v>
      </c>
      <c r="E14" s="16" t="n">
        <f aca="false">C14-D14</f>
        <v>1850000</v>
      </c>
      <c r="F14" s="16" t="n">
        <f aca="false">E14*0.68</f>
        <v>1258000</v>
      </c>
      <c r="G14" s="17" t="n">
        <f aca="false">F14/C14</f>
        <v>0.29952380952381</v>
      </c>
      <c r="H14" s="16" t="n">
        <v>510000</v>
      </c>
      <c r="I14" s="16" t="n">
        <v>145000</v>
      </c>
      <c r="J14" s="16" t="n">
        <v>180000</v>
      </c>
      <c r="K14" s="16" t="n">
        <v>490000</v>
      </c>
      <c r="M14" s="18" t="n">
        <f aca="false">SUM(C14:C17)</f>
        <v>19900000</v>
      </c>
    </row>
    <row r="15" customFormat="false" ht="15" hidden="false" customHeight="true" outlineLevel="0" collapsed="false">
      <c r="A15" s="10" t="n">
        <v>2024</v>
      </c>
      <c r="B15" s="10" t="s">
        <v>149</v>
      </c>
      <c r="C15" s="12" t="n">
        <v>4700000</v>
      </c>
      <c r="D15" s="12" t="n">
        <v>2600000</v>
      </c>
      <c r="E15" s="12" t="n">
        <f aca="false">C15-D15</f>
        <v>2100000</v>
      </c>
      <c r="F15" s="12" t="n">
        <f aca="false">E15*0.68</f>
        <v>1428000</v>
      </c>
      <c r="G15" s="19" t="n">
        <f aca="false">F15/C15</f>
        <v>0.303829787234043</v>
      </c>
      <c r="H15" s="12" t="n">
        <v>545000</v>
      </c>
      <c r="I15" s="12" t="n">
        <v>150000</v>
      </c>
      <c r="J15" s="12" t="n">
        <v>195000</v>
      </c>
      <c r="K15" s="12" t="n">
        <v>570000</v>
      </c>
    </row>
    <row r="16" customFormat="false" ht="15" hidden="false" customHeight="true" outlineLevel="0" collapsed="false">
      <c r="A16" s="15" t="n">
        <v>2024</v>
      </c>
      <c r="B16" s="15" t="s">
        <v>150</v>
      </c>
      <c r="C16" s="16" t="n">
        <v>5200000</v>
      </c>
      <c r="D16" s="16" t="n">
        <v>2850000</v>
      </c>
      <c r="E16" s="16" t="n">
        <f aca="false">C16-D16</f>
        <v>2350000</v>
      </c>
      <c r="F16" s="16" t="n">
        <f aca="false">E16*0.68</f>
        <v>1598000</v>
      </c>
      <c r="G16" s="17" t="n">
        <f aca="false">F16/C16</f>
        <v>0.307307692307692</v>
      </c>
      <c r="H16" s="16" t="n">
        <v>580000</v>
      </c>
      <c r="I16" s="16" t="n">
        <v>158000</v>
      </c>
      <c r="J16" s="16" t="n">
        <v>215000</v>
      </c>
      <c r="K16" s="16" t="n">
        <v>650000</v>
      </c>
    </row>
    <row r="17" customFormat="false" ht="15" hidden="false" customHeight="true" outlineLevel="0" collapsed="false">
      <c r="A17" s="10" t="n">
        <v>2024</v>
      </c>
      <c r="B17" s="10" t="s">
        <v>151</v>
      </c>
      <c r="C17" s="12" t="n">
        <v>5800000</v>
      </c>
      <c r="D17" s="12" t="n">
        <v>3100000</v>
      </c>
      <c r="E17" s="12" t="n">
        <f aca="false">C17-D17</f>
        <v>2700000</v>
      </c>
      <c r="F17" s="12" t="n">
        <f aca="false">E17*0.68</f>
        <v>1836000</v>
      </c>
      <c r="G17" s="19" t="n">
        <f aca="false">F17/C17</f>
        <v>0.316551724137931</v>
      </c>
      <c r="H17" s="12" t="n">
        <v>620000</v>
      </c>
      <c r="I17" s="12" t="n">
        <v>165000</v>
      </c>
      <c r="J17" s="12" t="n">
        <v>235000</v>
      </c>
      <c r="K17" s="12" t="n">
        <v>740000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8"/>
    <col collapsed="false" customWidth="true" hidden="false" outlineLevel="0" max="6" min="6" style="1" width="2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0" t="s">
        <v>152</v>
      </c>
      <c r="B1" s="20" t="s">
        <v>153</v>
      </c>
      <c r="C1" s="20" t="s">
        <v>154</v>
      </c>
      <c r="D1" s="20" t="s">
        <v>155</v>
      </c>
      <c r="E1" s="20" t="s">
        <v>156</v>
      </c>
      <c r="F1" s="20" t="s">
        <v>157</v>
      </c>
      <c r="G1" s="20" t="s">
        <v>158</v>
      </c>
    </row>
    <row r="2" customFormat="false" ht="15" hidden="false" customHeight="true" outlineLevel="0" collapsed="false">
      <c r="A2" s="21" t="s">
        <v>159</v>
      </c>
      <c r="B2" s="22" t="n">
        <v>8900000</v>
      </c>
      <c r="C2" s="22" t="n">
        <v>11650000</v>
      </c>
      <c r="D2" s="22" t="n">
        <v>15400000</v>
      </c>
      <c r="E2" s="22" t="n">
        <v>19900000</v>
      </c>
      <c r="F2" s="23" t="n">
        <f aca="false">(E2-D2)/D2</f>
        <v>0.292207792207792</v>
      </c>
      <c r="G2" s="24" t="s">
        <v>160</v>
      </c>
    </row>
    <row r="3" customFormat="false" ht="15" hidden="false" customHeight="true" outlineLevel="0" collapsed="false">
      <c r="A3" s="10" t="s">
        <v>161</v>
      </c>
      <c r="B3" s="12" t="n">
        <v>3200000</v>
      </c>
      <c r="C3" s="12" t="n">
        <v>4100000</v>
      </c>
      <c r="D3" s="12" t="n">
        <v>5200000</v>
      </c>
      <c r="E3" s="12" t="n">
        <v>6500000</v>
      </c>
      <c r="F3" s="19" t="n">
        <f aca="false">(E3-D3)/D3</f>
        <v>0.25</v>
      </c>
      <c r="G3" s="25" t="s">
        <v>160</v>
      </c>
    </row>
    <row r="4" customFormat="false" ht="15" hidden="false" customHeight="true" outlineLevel="0" collapsed="false">
      <c r="A4" s="21" t="s">
        <v>162</v>
      </c>
      <c r="B4" s="22" t="n">
        <v>850000</v>
      </c>
      <c r="C4" s="22" t="n">
        <v>1200000</v>
      </c>
      <c r="D4" s="22" t="n">
        <v>1650000</v>
      </c>
      <c r="E4" s="22" t="n">
        <v>2100000</v>
      </c>
      <c r="F4" s="23" t="n">
        <f aca="false">(E4-D4)/D4</f>
        <v>0.272727272727273</v>
      </c>
      <c r="G4" s="24" t="s">
        <v>160</v>
      </c>
    </row>
    <row r="5" customFormat="false" ht="15" hidden="false" customHeight="true" outlineLevel="0" collapsed="false">
      <c r="A5" s="10" t="s">
        <v>163</v>
      </c>
      <c r="B5" s="12" t="n">
        <v>620000</v>
      </c>
      <c r="C5" s="12" t="n">
        <v>820000</v>
      </c>
      <c r="D5" s="12" t="n">
        <v>1080000</v>
      </c>
      <c r="E5" s="12" t="n">
        <v>1390000</v>
      </c>
      <c r="F5" s="19" t="n">
        <f aca="false">(E5-D5)/D5</f>
        <v>0.287037037037037</v>
      </c>
      <c r="G5" s="25" t="s">
        <v>160</v>
      </c>
    </row>
    <row r="6" customFormat="false" ht="15" hidden="false" customHeight="true" outlineLevel="0" collapsed="false">
      <c r="A6" s="21" t="s">
        <v>164</v>
      </c>
      <c r="B6" s="21" t="n">
        <v>42</v>
      </c>
      <c r="C6" s="21" t="n">
        <v>58</v>
      </c>
      <c r="D6" s="21" t="n">
        <v>71</v>
      </c>
      <c r="E6" s="21" t="n">
        <v>87</v>
      </c>
      <c r="F6" s="23" t="n">
        <f aca="false">(E6-D6)/D6</f>
        <v>0.225352112676056</v>
      </c>
      <c r="G6" s="24" t="s">
        <v>160</v>
      </c>
    </row>
    <row r="7" customFormat="false" ht="15" hidden="false" customHeight="true" outlineLevel="0" collapsed="false">
      <c r="A7" s="10" t="s">
        <v>165</v>
      </c>
      <c r="B7" s="10" t="n">
        <v>120</v>
      </c>
      <c r="C7" s="10" t="n">
        <v>170</v>
      </c>
      <c r="D7" s="10" t="n">
        <v>215</v>
      </c>
      <c r="E7" s="10" t="n">
        <v>265</v>
      </c>
      <c r="F7" s="19" t="n">
        <f aca="false">(E7-D7)/D7</f>
        <v>0.232558139534884</v>
      </c>
      <c r="G7" s="25" t="s">
        <v>160</v>
      </c>
    </row>
    <row r="8" customFormat="false" ht="15" hidden="false" customHeight="true" outlineLevel="0" collapsed="false">
      <c r="A8" s="21" t="s">
        <v>166</v>
      </c>
      <c r="B8" s="23" t="n">
        <v>0.12</v>
      </c>
      <c r="C8" s="23" t="n">
        <v>0.18</v>
      </c>
      <c r="D8" s="23" t="n">
        <v>0.24</v>
      </c>
      <c r="E8" s="23" t="n">
        <v>0.31</v>
      </c>
      <c r="F8" s="23" t="n">
        <f aca="false">(E8-D8)/D8</f>
        <v>0.291666666666667</v>
      </c>
      <c r="G8" s="24" t="s">
        <v>160</v>
      </c>
    </row>
    <row r="9" customFormat="false" ht="15" hidden="false" customHeight="true" outlineLevel="0" collapsed="false">
      <c r="A9" s="10" t="s">
        <v>167</v>
      </c>
      <c r="B9" s="12" t="n">
        <v>1500000</v>
      </c>
      <c r="C9" s="12" t="n">
        <v>2100000</v>
      </c>
      <c r="D9" s="12" t="n">
        <v>2850000</v>
      </c>
      <c r="E9" s="12" t="n">
        <v>3700000</v>
      </c>
      <c r="F9" s="19" t="n">
        <f aca="false">(E9-D9)/D9</f>
        <v>0.298245614035088</v>
      </c>
      <c r="G9" s="25" t="s">
        <v>160</v>
      </c>
    </row>
    <row r="10" customFormat="false" ht="15" hidden="false" customHeight="true" outlineLevel="0" collapsed="false">
      <c r="A10" s="21" t="s">
        <v>168</v>
      </c>
      <c r="B10" s="23" t="n">
        <v>0.14</v>
      </c>
      <c r="C10" s="23" t="n">
        <v>0.17</v>
      </c>
      <c r="D10" s="23" t="n">
        <v>0.19</v>
      </c>
      <c r="E10" s="23" t="n">
        <v>0.22</v>
      </c>
      <c r="F10" s="23" t="n">
        <f aca="false">(E10-D10)/D10</f>
        <v>0.157894736842105</v>
      </c>
      <c r="G10" s="24" t="s">
        <v>160</v>
      </c>
    </row>
    <row r="11" customFormat="false" ht="15" hidden="false" customHeight="true" outlineLevel="0" collapsed="false">
      <c r="A11" s="10" t="s">
        <v>169</v>
      </c>
      <c r="B11" s="12" t="n">
        <v>211905</v>
      </c>
      <c r="C11" s="12" t="n">
        <v>200862</v>
      </c>
      <c r="D11" s="12" t="n">
        <v>216901</v>
      </c>
      <c r="E11" s="12" t="n">
        <v>228736</v>
      </c>
      <c r="F11" s="19" t="n">
        <f aca="false">(E11-D11)/D11</f>
        <v>0.0545640637894708</v>
      </c>
      <c r="G11" s="2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5"/>
  </cols>
  <sheetData>
    <row r="1" customFormat="false" ht="15" hidden="false" customHeight="true" outlineLevel="0" collapsed="false">
      <c r="A1" s="26" t="s">
        <v>170</v>
      </c>
      <c r="B1" s="26" t="s">
        <v>171</v>
      </c>
      <c r="C1" s="26" t="s">
        <v>172</v>
      </c>
      <c r="D1" s="26" t="s">
        <v>173</v>
      </c>
      <c r="E1" s="26" t="s">
        <v>174</v>
      </c>
      <c r="F1" s="26" t="s">
        <v>175</v>
      </c>
      <c r="G1" s="26" t="s">
        <v>176</v>
      </c>
      <c r="H1" s="26" t="s">
        <v>30</v>
      </c>
      <c r="I1" s="26" t="s">
        <v>177</v>
      </c>
    </row>
    <row r="2" customFormat="false" ht="15" hidden="false" customHeight="true" outlineLevel="0" collapsed="false">
      <c r="A2" s="27" t="s">
        <v>178</v>
      </c>
      <c r="B2" s="27" t="s">
        <v>179</v>
      </c>
      <c r="C2" s="27" t="s">
        <v>180</v>
      </c>
      <c r="D2" s="27" t="s">
        <v>181</v>
      </c>
      <c r="E2" s="28" t="n">
        <v>1508253</v>
      </c>
      <c r="F2" s="29" t="n">
        <v>42572</v>
      </c>
      <c r="G2" s="27" t="n">
        <v>110</v>
      </c>
      <c r="H2" s="27" t="s">
        <v>182</v>
      </c>
      <c r="I2" s="27" t="n">
        <v>66</v>
      </c>
    </row>
    <row r="3" customFormat="false" ht="15" hidden="false" customHeight="true" outlineLevel="0" collapsed="false">
      <c r="A3" s="10" t="s">
        <v>183</v>
      </c>
      <c r="B3" s="10" t="s">
        <v>184</v>
      </c>
      <c r="C3" s="10" t="s">
        <v>185</v>
      </c>
      <c r="D3" s="10" t="s">
        <v>181</v>
      </c>
      <c r="E3" s="12" t="n">
        <v>1683810</v>
      </c>
      <c r="F3" s="11" t="n">
        <v>43482</v>
      </c>
      <c r="G3" s="10" t="n">
        <v>16</v>
      </c>
      <c r="H3" s="10" t="s">
        <v>186</v>
      </c>
      <c r="I3" s="10" t="n">
        <v>86</v>
      </c>
    </row>
    <row r="4" customFormat="false" ht="15" hidden="false" customHeight="true" outlineLevel="0" collapsed="false">
      <c r="A4" s="27" t="s">
        <v>187</v>
      </c>
      <c r="B4" s="27" t="s">
        <v>188</v>
      </c>
      <c r="C4" s="27" t="s">
        <v>189</v>
      </c>
      <c r="D4" s="27" t="s">
        <v>181</v>
      </c>
      <c r="E4" s="28" t="n">
        <v>442994</v>
      </c>
      <c r="F4" s="29" t="n">
        <v>42418</v>
      </c>
      <c r="G4" s="27" t="n">
        <v>110</v>
      </c>
      <c r="H4" s="27" t="s">
        <v>182</v>
      </c>
      <c r="I4" s="27" t="n">
        <v>67</v>
      </c>
    </row>
    <row r="5" customFormat="false" ht="15" hidden="false" customHeight="true" outlineLevel="0" collapsed="false">
      <c r="A5" s="10" t="s">
        <v>190</v>
      </c>
      <c r="B5" s="10" t="s">
        <v>191</v>
      </c>
      <c r="C5" s="10" t="s">
        <v>180</v>
      </c>
      <c r="D5" s="10" t="s">
        <v>192</v>
      </c>
      <c r="E5" s="12" t="n">
        <v>1086332</v>
      </c>
      <c r="F5" s="11" t="n">
        <v>44154</v>
      </c>
      <c r="G5" s="10" t="n">
        <v>79</v>
      </c>
      <c r="H5" s="10" t="s">
        <v>186</v>
      </c>
      <c r="I5" s="10" t="n">
        <v>63</v>
      </c>
    </row>
    <row r="6" customFormat="false" ht="15" hidden="false" customHeight="true" outlineLevel="0" collapsed="false">
      <c r="A6" s="27" t="s">
        <v>193</v>
      </c>
      <c r="B6" s="27" t="s">
        <v>194</v>
      </c>
      <c r="C6" s="27" t="s">
        <v>185</v>
      </c>
      <c r="D6" s="27" t="s">
        <v>195</v>
      </c>
      <c r="E6" s="28" t="n">
        <v>1077284</v>
      </c>
      <c r="F6" s="29" t="n">
        <v>42275</v>
      </c>
      <c r="G6" s="27" t="n">
        <v>58</v>
      </c>
      <c r="H6" s="27" t="s">
        <v>37</v>
      </c>
      <c r="I6" s="27" t="n">
        <v>94</v>
      </c>
    </row>
    <row r="7" customFormat="false" ht="15" hidden="false" customHeight="true" outlineLevel="0" collapsed="false">
      <c r="A7" s="10" t="s">
        <v>196</v>
      </c>
      <c r="B7" s="10" t="s">
        <v>197</v>
      </c>
      <c r="C7" s="10" t="s">
        <v>198</v>
      </c>
      <c r="D7" s="10" t="s">
        <v>199</v>
      </c>
      <c r="E7" s="12" t="n">
        <v>644056</v>
      </c>
      <c r="F7" s="11" t="n">
        <v>43603</v>
      </c>
      <c r="G7" s="10" t="n">
        <v>28</v>
      </c>
      <c r="H7" s="10" t="s">
        <v>37</v>
      </c>
      <c r="I7" s="10" t="n">
        <v>97</v>
      </c>
    </row>
    <row r="8" customFormat="false" ht="15" hidden="false" customHeight="true" outlineLevel="0" collapsed="false">
      <c r="A8" s="27" t="s">
        <v>200</v>
      </c>
      <c r="B8" s="27" t="s">
        <v>201</v>
      </c>
      <c r="C8" s="27" t="s">
        <v>202</v>
      </c>
      <c r="D8" s="27" t="s">
        <v>181</v>
      </c>
      <c r="E8" s="28" t="n">
        <v>937988</v>
      </c>
      <c r="F8" s="29" t="n">
        <v>42784</v>
      </c>
      <c r="G8" s="27" t="n">
        <v>77</v>
      </c>
      <c r="H8" s="27" t="s">
        <v>37</v>
      </c>
      <c r="I8" s="27" t="n">
        <v>99</v>
      </c>
    </row>
    <row r="9" customFormat="false" ht="15" hidden="false" customHeight="true" outlineLevel="0" collapsed="false">
      <c r="A9" s="10" t="s">
        <v>203</v>
      </c>
      <c r="B9" s="10" t="s">
        <v>204</v>
      </c>
      <c r="C9" s="10" t="s">
        <v>189</v>
      </c>
      <c r="D9" s="10" t="s">
        <v>205</v>
      </c>
      <c r="E9" s="12" t="n">
        <v>1013853</v>
      </c>
      <c r="F9" s="11" t="n">
        <v>43422</v>
      </c>
      <c r="G9" s="10" t="n">
        <v>45</v>
      </c>
      <c r="H9" s="10" t="s">
        <v>186</v>
      </c>
      <c r="I9" s="10" t="n">
        <v>97</v>
      </c>
    </row>
    <row r="10" customFormat="false" ht="15" hidden="false" customHeight="true" outlineLevel="0" collapsed="false">
      <c r="A10" s="27" t="s">
        <v>206</v>
      </c>
      <c r="B10" s="27" t="s">
        <v>207</v>
      </c>
      <c r="C10" s="27" t="s">
        <v>198</v>
      </c>
      <c r="D10" s="27" t="s">
        <v>208</v>
      </c>
      <c r="E10" s="28" t="n">
        <v>2050793</v>
      </c>
      <c r="F10" s="29" t="n">
        <v>42863</v>
      </c>
      <c r="G10" s="27" t="n">
        <v>94</v>
      </c>
      <c r="H10" s="27" t="s">
        <v>37</v>
      </c>
      <c r="I10" s="27" t="n">
        <v>65</v>
      </c>
    </row>
    <row r="11" customFormat="false" ht="15" hidden="false" customHeight="true" outlineLevel="0" collapsed="false">
      <c r="A11" s="10" t="s">
        <v>209</v>
      </c>
      <c r="B11" s="10" t="s">
        <v>210</v>
      </c>
      <c r="C11" s="10" t="s">
        <v>202</v>
      </c>
      <c r="D11" s="10" t="s">
        <v>211</v>
      </c>
      <c r="E11" s="12" t="n">
        <v>1409336</v>
      </c>
      <c r="F11" s="11" t="n">
        <v>43688</v>
      </c>
      <c r="G11" s="10" t="n">
        <v>41</v>
      </c>
      <c r="H11" s="10" t="s">
        <v>182</v>
      </c>
      <c r="I11" s="10" t="n">
        <v>64</v>
      </c>
    </row>
    <row r="12" customFormat="false" ht="15" hidden="false" customHeight="true" outlineLevel="0" collapsed="false">
      <c r="A12" s="27" t="s">
        <v>212</v>
      </c>
      <c r="B12" s="27" t="s">
        <v>213</v>
      </c>
      <c r="C12" s="27" t="s">
        <v>198</v>
      </c>
      <c r="D12" s="27" t="s">
        <v>195</v>
      </c>
      <c r="E12" s="28" t="n">
        <v>645203</v>
      </c>
      <c r="F12" s="29" t="n">
        <v>43652</v>
      </c>
      <c r="G12" s="27" t="n">
        <v>24</v>
      </c>
      <c r="H12" s="27" t="s">
        <v>186</v>
      </c>
      <c r="I12" s="27" t="n">
        <v>86</v>
      </c>
    </row>
    <row r="13" customFormat="false" ht="15" hidden="false" customHeight="true" outlineLevel="0" collapsed="false">
      <c r="A13" s="10" t="s">
        <v>214</v>
      </c>
      <c r="B13" s="10" t="s">
        <v>215</v>
      </c>
      <c r="C13" s="10" t="s">
        <v>216</v>
      </c>
      <c r="D13" s="10" t="s">
        <v>192</v>
      </c>
      <c r="E13" s="12" t="n">
        <v>314447</v>
      </c>
      <c r="F13" s="11" t="n">
        <v>43886</v>
      </c>
      <c r="G13" s="10" t="n">
        <v>106</v>
      </c>
      <c r="H13" s="10" t="s">
        <v>37</v>
      </c>
      <c r="I13" s="10" t="n">
        <v>81</v>
      </c>
    </row>
    <row r="14" customFormat="false" ht="15" hidden="false" customHeight="true" outlineLevel="0" collapsed="false">
      <c r="A14" s="27" t="s">
        <v>217</v>
      </c>
      <c r="B14" s="27" t="s">
        <v>218</v>
      </c>
      <c r="C14" s="27" t="s">
        <v>198</v>
      </c>
      <c r="D14" s="27" t="s">
        <v>211</v>
      </c>
      <c r="E14" s="28" t="n">
        <v>1618754</v>
      </c>
      <c r="F14" s="29" t="n">
        <v>43696</v>
      </c>
      <c r="G14" s="27" t="n">
        <v>13</v>
      </c>
      <c r="H14" s="27" t="s">
        <v>37</v>
      </c>
      <c r="I14" s="27" t="n">
        <v>77</v>
      </c>
    </row>
    <row r="15" customFormat="false" ht="15" hidden="false" customHeight="true" outlineLevel="0" collapsed="false">
      <c r="A15" s="10" t="s">
        <v>219</v>
      </c>
      <c r="B15" s="10" t="s">
        <v>220</v>
      </c>
      <c r="C15" s="10" t="s">
        <v>180</v>
      </c>
      <c r="D15" s="10" t="s">
        <v>199</v>
      </c>
      <c r="E15" s="12" t="n">
        <v>2138512</v>
      </c>
      <c r="F15" s="11" t="n">
        <v>44138</v>
      </c>
      <c r="G15" s="10" t="n">
        <v>94</v>
      </c>
      <c r="H15" s="10" t="s">
        <v>37</v>
      </c>
      <c r="I15" s="10" t="n">
        <v>96</v>
      </c>
    </row>
    <row r="16" customFormat="false" ht="15" hidden="false" customHeight="true" outlineLevel="0" collapsed="false">
      <c r="A16" s="27" t="s">
        <v>221</v>
      </c>
      <c r="B16" s="27" t="s">
        <v>222</v>
      </c>
      <c r="C16" s="27" t="s">
        <v>202</v>
      </c>
      <c r="D16" s="27" t="s">
        <v>195</v>
      </c>
      <c r="E16" s="28" t="n">
        <v>2019152</v>
      </c>
      <c r="F16" s="29" t="n">
        <v>43082</v>
      </c>
      <c r="G16" s="27" t="n">
        <v>7</v>
      </c>
      <c r="H16" s="27" t="s">
        <v>186</v>
      </c>
      <c r="I16" s="27" t="n">
        <v>82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6" min="5" style="1" width="18"/>
    <col collapsed="false" customWidth="true" hidden="false" outlineLevel="0" max="7" min="7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30" t="s">
        <v>223</v>
      </c>
      <c r="B1" s="30" t="s">
        <v>224</v>
      </c>
      <c r="C1" s="30" t="s">
        <v>225</v>
      </c>
      <c r="D1" s="30" t="s">
        <v>25</v>
      </c>
      <c r="E1" s="30" t="s">
        <v>226</v>
      </c>
      <c r="F1" s="30" t="s">
        <v>227</v>
      </c>
      <c r="G1" s="30" t="s">
        <v>228</v>
      </c>
      <c r="H1" s="30" t="s">
        <v>229</v>
      </c>
      <c r="I1" s="30" t="s">
        <v>230</v>
      </c>
      <c r="J1" s="30" t="s">
        <v>30</v>
      </c>
      <c r="K1" s="30" t="s">
        <v>231</v>
      </c>
    </row>
    <row r="2" customFormat="false" ht="15" hidden="false" customHeight="true" outlineLevel="0" collapsed="false">
      <c r="A2" s="15" t="s">
        <v>232</v>
      </c>
      <c r="B2" s="15" t="s">
        <v>233</v>
      </c>
      <c r="C2" s="15" t="s">
        <v>234</v>
      </c>
      <c r="D2" s="15" t="s">
        <v>82</v>
      </c>
      <c r="E2" s="16" t="n">
        <v>850000</v>
      </c>
      <c r="F2" s="16" t="n">
        <v>910000</v>
      </c>
      <c r="G2" s="17" t="n">
        <f aca="false">F2/E2-1</f>
        <v>0.0705882352941176</v>
      </c>
      <c r="H2" s="31" t="n">
        <v>44941</v>
      </c>
      <c r="I2" s="31" t="n">
        <v>45473</v>
      </c>
      <c r="J2" s="32" t="s">
        <v>235</v>
      </c>
      <c r="K2" s="15" t="s">
        <v>236</v>
      </c>
    </row>
    <row r="3" customFormat="false" ht="15" hidden="false" customHeight="true" outlineLevel="0" collapsed="false">
      <c r="A3" s="10" t="s">
        <v>237</v>
      </c>
      <c r="B3" s="10" t="s">
        <v>238</v>
      </c>
      <c r="C3" s="10" t="s">
        <v>239</v>
      </c>
      <c r="D3" s="10" t="s">
        <v>99</v>
      </c>
      <c r="E3" s="12" t="n">
        <v>1200000</v>
      </c>
      <c r="F3" s="12" t="n">
        <v>1150000</v>
      </c>
      <c r="G3" s="19" t="n">
        <f aca="false">F3/E3-1</f>
        <v>-0.0416666666666666</v>
      </c>
      <c r="H3" s="11" t="n">
        <v>44986</v>
      </c>
      <c r="I3" s="11" t="n">
        <v>45657</v>
      </c>
      <c r="J3" s="33" t="s">
        <v>240</v>
      </c>
      <c r="K3" s="10" t="s">
        <v>241</v>
      </c>
    </row>
    <row r="4" customFormat="false" ht="15" hidden="false" customHeight="true" outlineLevel="0" collapsed="false">
      <c r="A4" s="15" t="s">
        <v>242</v>
      </c>
      <c r="B4" s="15" t="s">
        <v>243</v>
      </c>
      <c r="C4" s="15" t="s">
        <v>244</v>
      </c>
      <c r="D4" s="15" t="s">
        <v>126</v>
      </c>
      <c r="E4" s="16" t="n">
        <v>180000</v>
      </c>
      <c r="F4" s="16" t="n">
        <v>175000</v>
      </c>
      <c r="G4" s="17" t="n">
        <f aca="false">F4/E4-1</f>
        <v>-0.0277777777777778</v>
      </c>
      <c r="H4" s="31" t="n">
        <v>45078</v>
      </c>
      <c r="I4" s="31" t="n">
        <v>45382</v>
      </c>
      <c r="J4" s="32" t="s">
        <v>235</v>
      </c>
      <c r="K4" s="15" t="s">
        <v>245</v>
      </c>
    </row>
    <row r="5" customFormat="false" ht="15" hidden="false" customHeight="true" outlineLevel="0" collapsed="false">
      <c r="A5" s="10" t="s">
        <v>246</v>
      </c>
      <c r="B5" s="10" t="s">
        <v>247</v>
      </c>
      <c r="C5" s="10" t="s">
        <v>248</v>
      </c>
      <c r="D5" s="10" t="s">
        <v>82</v>
      </c>
      <c r="E5" s="12" t="n">
        <v>650000</v>
      </c>
      <c r="F5" s="12" t="n">
        <v>700000</v>
      </c>
      <c r="G5" s="19" t="n">
        <f aca="false">F5/E5-1</f>
        <v>0.0769230769230769</v>
      </c>
      <c r="H5" s="11" t="n">
        <v>45170</v>
      </c>
      <c r="I5" s="11" t="n">
        <v>45747</v>
      </c>
      <c r="J5" s="33" t="s">
        <v>240</v>
      </c>
      <c r="K5" s="10" t="s">
        <v>236</v>
      </c>
    </row>
    <row r="6" customFormat="false" ht="15" hidden="false" customHeight="true" outlineLevel="0" collapsed="false">
      <c r="A6" s="15" t="s">
        <v>249</v>
      </c>
      <c r="B6" s="15" t="s">
        <v>250</v>
      </c>
      <c r="C6" s="15" t="s">
        <v>251</v>
      </c>
      <c r="D6" s="15" t="s">
        <v>60</v>
      </c>
      <c r="E6" s="16" t="n">
        <v>95000</v>
      </c>
      <c r="F6" s="16" t="n">
        <v>88000</v>
      </c>
      <c r="G6" s="17" t="n">
        <f aca="false">F6/E6-1</f>
        <v>-0.0736842105263158</v>
      </c>
      <c r="H6" s="31" t="n">
        <v>45301</v>
      </c>
      <c r="I6" s="31" t="n">
        <v>45565</v>
      </c>
      <c r="J6" s="32" t="s">
        <v>235</v>
      </c>
      <c r="K6" s="15" t="s">
        <v>252</v>
      </c>
    </row>
    <row r="7" customFormat="false" ht="15" hidden="false" customHeight="true" outlineLevel="0" collapsed="false">
      <c r="A7" s="10" t="s">
        <v>253</v>
      </c>
      <c r="B7" s="10" t="s">
        <v>254</v>
      </c>
      <c r="C7" s="10" t="s">
        <v>255</v>
      </c>
      <c r="D7" s="10" t="s">
        <v>126</v>
      </c>
      <c r="E7" s="12" t="n">
        <v>3500000</v>
      </c>
      <c r="F7" s="12" t="n">
        <v>3200000</v>
      </c>
      <c r="G7" s="19" t="n">
        <f aca="false">F7/E7-1</f>
        <v>-0.0857142857142857</v>
      </c>
      <c r="H7" s="11" t="n">
        <v>45323</v>
      </c>
      <c r="I7" s="11" t="n">
        <v>46022</v>
      </c>
      <c r="J7" s="33" t="s">
        <v>240</v>
      </c>
      <c r="K7" s="10" t="s">
        <v>241</v>
      </c>
    </row>
    <row r="8" customFormat="false" ht="15" hidden="false" customHeight="true" outlineLevel="0" collapsed="false">
      <c r="A8" s="15" t="s">
        <v>256</v>
      </c>
      <c r="B8" s="15" t="s">
        <v>257</v>
      </c>
      <c r="C8" s="15" t="s">
        <v>258</v>
      </c>
      <c r="D8" s="15" t="s">
        <v>113</v>
      </c>
      <c r="E8" s="16" t="n">
        <v>320000</v>
      </c>
      <c r="F8" s="16" t="n">
        <v>340000</v>
      </c>
      <c r="G8" s="17" t="n">
        <f aca="false">F8/E8-1</f>
        <v>0.0625</v>
      </c>
      <c r="H8" s="31" t="n">
        <v>45292</v>
      </c>
      <c r="I8" s="31" t="n">
        <v>45657</v>
      </c>
      <c r="J8" s="34" t="s">
        <v>240</v>
      </c>
      <c r="K8" s="15" t="s">
        <v>236</v>
      </c>
    </row>
    <row r="9" customFormat="false" ht="15" hidden="false" customHeight="true" outlineLevel="0" collapsed="false">
      <c r="A9" s="10" t="s">
        <v>259</v>
      </c>
      <c r="B9" s="10" t="s">
        <v>260</v>
      </c>
      <c r="C9" s="10" t="s">
        <v>261</v>
      </c>
      <c r="D9" s="10" t="s">
        <v>82</v>
      </c>
      <c r="E9" s="12" t="n">
        <v>120000</v>
      </c>
      <c r="F9" s="12" t="n">
        <v>115000</v>
      </c>
      <c r="G9" s="19" t="n">
        <f aca="false">F9/E9-1</f>
        <v>-0.0416666666666666</v>
      </c>
      <c r="H9" s="11" t="n">
        <v>45383</v>
      </c>
      <c r="I9" s="11" t="n">
        <v>45596</v>
      </c>
      <c r="J9" s="35" t="s">
        <v>235</v>
      </c>
      <c r="K9" s="10" t="s">
        <v>236</v>
      </c>
    </row>
    <row r="10" customFormat="false" ht="15" hidden="false" customHeight="true" outlineLevel="0" collapsed="false">
      <c r="A10" s="15" t="s">
        <v>262</v>
      </c>
      <c r="B10" s="15" t="s">
        <v>263</v>
      </c>
      <c r="C10" s="15" t="s">
        <v>264</v>
      </c>
      <c r="D10" s="15" t="s">
        <v>99</v>
      </c>
      <c r="E10" s="16" t="n">
        <v>780000</v>
      </c>
      <c r="F10" s="16" t="n">
        <v>0</v>
      </c>
      <c r="G10" s="17" t="n">
        <f aca="false">F10/E10-1</f>
        <v>-1</v>
      </c>
      <c r="H10" s="31" t="n">
        <v>45658</v>
      </c>
      <c r="I10" s="31" t="n">
        <v>46203</v>
      </c>
      <c r="J10" s="36" t="s">
        <v>265</v>
      </c>
      <c r="K10" s="15" t="s">
        <v>236</v>
      </c>
    </row>
    <row r="11" customFormat="false" ht="15" hidden="false" customHeight="true" outlineLevel="0" collapsed="false">
      <c r="A11" s="10" t="s">
        <v>266</v>
      </c>
      <c r="B11" s="10" t="s">
        <v>267</v>
      </c>
      <c r="C11" s="10" t="s">
        <v>268</v>
      </c>
      <c r="D11" s="10" t="s">
        <v>82</v>
      </c>
      <c r="E11" s="12" t="n">
        <v>430000</v>
      </c>
      <c r="F11" s="12" t="n">
        <v>180000</v>
      </c>
      <c r="G11" s="19" t="n">
        <f aca="false">F11/E11-1</f>
        <v>-0.581395348837209</v>
      </c>
      <c r="H11" s="11" t="n">
        <v>45566</v>
      </c>
      <c r="I11" s="11" t="n">
        <v>45930</v>
      </c>
      <c r="J11" s="33" t="s">
        <v>240</v>
      </c>
      <c r="K11" s="1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2026-03-25T06:37:19Z</dcterms:created>
  <dc:creator>openpyxl</dc:creator>
  <dc:description/>
  <dc:language>en-US</dc:language>
  <cp:lastModifiedBy/>
  <dcterms:modified xsi:type="dcterms:W3CDTF">2026-03-25T06:37:35Z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